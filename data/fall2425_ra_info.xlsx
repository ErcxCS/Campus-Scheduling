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ercx2\Desktop\Scheduling Theory_02\Paper\scheduling\Campus-Scheduling\data\"/>
    </mc:Choice>
  </mc:AlternateContent>
  <xr:revisionPtr revIDLastSave="0" documentId="13_ncr:1_{EEE976BD-C853-41D1-99D9-495BC3664A45}" xr6:coauthVersionLast="47" xr6:coauthVersionMax="47" xr10:uidLastSave="{00000000-0000-0000-0000-000000000000}"/>
  <bookViews>
    <workbookView xWindow="-110" yWindow="-110" windowWidth="38620" windowHeight="21100" activeTab="1" xr2:uid="{00000000-000D-0000-FFFF-FFFF00000000}"/>
  </bookViews>
  <sheets>
    <sheet name="Arş.Gör." sheetId="5" r:id="rId1"/>
    <sheet name="Görevler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0Z8VZ8WvobdzVPEjjqGp1SD7ExUVN66NzcXkP5HwD9k="/>
    </ext>
  </extLst>
</workbook>
</file>

<file path=xl/calcChain.xml><?xml version="1.0" encoding="utf-8"?>
<calcChain xmlns="http://schemas.openxmlformats.org/spreadsheetml/2006/main">
  <c r="G12" i="3" l="1"/>
  <c r="E54" i="3"/>
  <c r="F54" i="3"/>
  <c r="G54" i="3"/>
  <c r="H54" i="3"/>
  <c r="J54" i="3"/>
  <c r="M50" i="3"/>
  <c r="M52" i="3"/>
  <c r="M53" i="3"/>
  <c r="M45" i="3"/>
  <c r="E39" i="3"/>
  <c r="F39" i="3"/>
  <c r="G39" i="3"/>
  <c r="H39" i="3"/>
  <c r="I39" i="3"/>
  <c r="K39" i="3" s="1"/>
  <c r="J39" i="3"/>
  <c r="E12" i="3"/>
  <c r="G3" i="3"/>
  <c r="D24" i="3"/>
  <c r="H12" i="3"/>
  <c r="I5" i="3"/>
  <c r="H3" i="3"/>
  <c r="G8" i="3"/>
  <c r="G7" i="3"/>
  <c r="G5" i="3"/>
  <c r="G10" i="3"/>
  <c r="G6" i="3"/>
  <c r="G4" i="3"/>
  <c r="G11" i="3"/>
  <c r="G9" i="3"/>
  <c r="I3" i="3"/>
  <c r="H4" i="3"/>
  <c r="H5" i="3"/>
  <c r="H6" i="3"/>
  <c r="H7" i="3"/>
  <c r="H8" i="3"/>
  <c r="H9" i="3"/>
  <c r="H10" i="3"/>
  <c r="H11" i="3"/>
  <c r="I11" i="3"/>
  <c r="I10" i="3"/>
  <c r="I9" i="3"/>
  <c r="I8" i="3"/>
  <c r="I7" i="3"/>
  <c r="I6" i="3"/>
  <c r="I4" i="3"/>
  <c r="F12" i="3"/>
  <c r="B1" i="3"/>
  <c r="A1" i="3"/>
  <c r="B1" i="5"/>
  <c r="C1" i="5"/>
  <c r="E40" i="3" l="1"/>
  <c r="J40" i="3"/>
  <c r="H40" i="3"/>
  <c r="G40" i="3"/>
  <c r="F40" i="3"/>
  <c r="I40" i="3"/>
  <c r="I12" i="3"/>
  <c r="D12" i="3"/>
  <c r="H15" i="3" l="1"/>
  <c r="J6" i="3" s="1"/>
  <c r="K6" i="3" s="1"/>
  <c r="G13" i="3"/>
  <c r="H13" i="3" l="1"/>
  <c r="E15" i="3" s="1"/>
  <c r="J3" i="3"/>
  <c r="J9" i="3"/>
  <c r="K9" i="3" s="1"/>
  <c r="J28" i="3" s="1"/>
  <c r="G28" i="3"/>
  <c r="E23" i="3" l="1"/>
  <c r="J11" i="3" s="1"/>
  <c r="K11" i="3" s="1"/>
  <c r="L28" i="3" s="1"/>
  <c r="E19" i="3"/>
  <c r="E20" i="3"/>
  <c r="E18" i="3"/>
  <c r="E22" i="3"/>
  <c r="J10" i="3" s="1"/>
  <c r="K10" i="3" s="1"/>
  <c r="E16" i="3"/>
  <c r="J5" i="3" s="1"/>
  <c r="K5" i="3" s="1"/>
  <c r="F28" i="3" s="1"/>
  <c r="E17" i="3"/>
  <c r="E21" i="3"/>
  <c r="K3" i="3"/>
  <c r="D28" i="3" s="1"/>
  <c r="J4" i="3"/>
  <c r="K4" i="3" s="1"/>
  <c r="J7" i="3"/>
  <c r="K28" i="3"/>
  <c r="J8" i="3" l="1"/>
  <c r="K8" i="3" s="1"/>
  <c r="I28" i="3" s="1"/>
  <c r="E24" i="3"/>
  <c r="G22" i="3" s="1"/>
  <c r="I13" i="3" s="1"/>
  <c r="I15" i="3" s="1"/>
  <c r="K7" i="3"/>
  <c r="E28" i="3"/>
  <c r="K13" i="3" l="1"/>
  <c r="J12" i="3"/>
  <c r="J15" i="3" s="1"/>
  <c r="H28" i="3"/>
  <c r="H29" i="3" l="1"/>
  <c r="E29" i="3"/>
  <c r="E36" i="3"/>
  <c r="H36" i="3" l="1"/>
  <c r="H37" i="3"/>
  <c r="E37" i="3"/>
  <c r="G29" i="3"/>
  <c r="G37" i="3"/>
  <c r="G36" i="3"/>
  <c r="J29" i="3"/>
  <c r="J37" i="3"/>
  <c r="J36" i="3"/>
  <c r="F29" i="3"/>
  <c r="F37" i="3"/>
  <c r="F36" i="3"/>
</calcChain>
</file>

<file path=xl/sharedStrings.xml><?xml version="1.0" encoding="utf-8"?>
<sst xmlns="http://schemas.openxmlformats.org/spreadsheetml/2006/main" count="143" uniqueCount="86">
  <si>
    <t>BİLGİSAYAR MÜHENDİSLİĞİ</t>
  </si>
  <si>
    <t>Erdinç TÜRK</t>
  </si>
  <si>
    <t>Melih ÖZ</t>
  </si>
  <si>
    <t>Taha Yiğit ALKAN</t>
  </si>
  <si>
    <t>Manolya ATALAY</t>
  </si>
  <si>
    <t>ÇEVRE MÜHENDİSLİĞİ</t>
  </si>
  <si>
    <t>Aslı Nur RIZVANOĞLU</t>
  </si>
  <si>
    <t>ELEKTRİK ELEKTRONİK MÜHENDİSLİĞİ</t>
  </si>
  <si>
    <t>Atalay KOCAKUŞAK (DR)</t>
  </si>
  <si>
    <t>Ayhan ŞAVKLIYILDIZ</t>
  </si>
  <si>
    <t>Mert ÇİFLİK</t>
  </si>
  <si>
    <t>Halil İbrahim AYTEKİN</t>
  </si>
  <si>
    <t>Betül ÜNAL</t>
  </si>
  <si>
    <t>Ceyhun ÇELEBİ</t>
  </si>
  <si>
    <t>GIDA MÜHENDİSLİĞİ</t>
  </si>
  <si>
    <t>Hatice Kübra KIZILAY</t>
  </si>
  <si>
    <t>Gürcü Aybige ÇAKMAK</t>
  </si>
  <si>
    <t>Seranay AŞIK AYGÜN</t>
  </si>
  <si>
    <t>Selin BAŞMAK</t>
  </si>
  <si>
    <t>İNŞAAT MÜHENDİSLİĞİ</t>
  </si>
  <si>
    <t>Elif Firuze ERDİL (DR)</t>
  </si>
  <si>
    <t>Hüseyin SÖĞÜT</t>
  </si>
  <si>
    <t>Gökçen ARSLAN</t>
  </si>
  <si>
    <t>İbrahim YETİŞ</t>
  </si>
  <si>
    <t>JEOLOJİ MÜHENDİSLİĞİ</t>
  </si>
  <si>
    <t>Koray KOÇ (DR)</t>
  </si>
  <si>
    <t>Fatih UÇAR (DR)</t>
  </si>
  <si>
    <t>Alper GÜNEŞ (DR)</t>
  </si>
  <si>
    <t>MAKİNE MÜHENDİSLİĞİ</t>
  </si>
  <si>
    <t>İsmet Faruk YAKA</t>
  </si>
  <si>
    <t>Ali Kürşad ARICIOĞLU</t>
  </si>
  <si>
    <t>Nazife Nur ODABAŞI</t>
  </si>
  <si>
    <t>Nasuh ÖZDEMİR</t>
  </si>
  <si>
    <t>BİYOMEDİKAL MÜHENDİSLİĞİ</t>
  </si>
  <si>
    <t>MALZEME MÜHENDİSLİĞİ</t>
  </si>
  <si>
    <t>Cemal ASLAN (DR)</t>
  </si>
  <si>
    <t>Tunç Eren AKAY</t>
  </si>
  <si>
    <t>EEM</t>
  </si>
  <si>
    <t>MAK</t>
  </si>
  <si>
    <t>İNŞ</t>
  </si>
  <si>
    <t>JEO</t>
  </si>
  <si>
    <t>Toplam</t>
  </si>
  <si>
    <t>Olması Gereken</t>
  </si>
  <si>
    <t>Bilgisayar</t>
  </si>
  <si>
    <t>Çevre</t>
  </si>
  <si>
    <t>Elektrik-Elektronik</t>
  </si>
  <si>
    <t>Gıda</t>
  </si>
  <si>
    <t>İnşaat</t>
  </si>
  <si>
    <t>Jeoloji</t>
  </si>
  <si>
    <t>Makine</t>
  </si>
  <si>
    <t>Biyomedikal</t>
  </si>
  <si>
    <t>Malzeme</t>
  </si>
  <si>
    <t>Ders Saati</t>
  </si>
  <si>
    <t>Hacer KUDUZ (DR)</t>
  </si>
  <si>
    <t>Özge ÖZER ATAKOĞLU (DOĞUM İZNİ)</t>
  </si>
  <si>
    <t>Aleyna YAZICIOĞLU</t>
  </si>
  <si>
    <t>Dilayda SOYLU PEKPOSTALCI (DR)</t>
  </si>
  <si>
    <t>Ahmet Mustafa TEPE (DR)</t>
  </si>
  <si>
    <t>Yusuf ÇELİK</t>
  </si>
  <si>
    <t>Ömer KURU</t>
  </si>
  <si>
    <t>Berk ERCİN</t>
  </si>
  <si>
    <t>Barış Doruk BAŞARAN</t>
  </si>
  <si>
    <t>Arş.Gör.Dr.</t>
  </si>
  <si>
    <t>Arş.Gör.</t>
  </si>
  <si>
    <t>BÖLÜM</t>
  </si>
  <si>
    <t>Görev sayısı</t>
  </si>
  <si>
    <t>Arş.Gör.Dr. DS</t>
  </si>
  <si>
    <t>Bölümler</t>
  </si>
  <si>
    <t>Arş.Gör. T</t>
  </si>
  <si>
    <t>Bölüm</t>
  </si>
  <si>
    <t>Hafta İçi</t>
  </si>
  <si>
    <t>OG-Bölüm</t>
  </si>
  <si>
    <t>BİL</t>
  </si>
  <si>
    <t>ÇEV</t>
  </si>
  <si>
    <t>GIDA</t>
  </si>
  <si>
    <t>BİY</t>
  </si>
  <si>
    <t>MLZ</t>
  </si>
  <si>
    <t>BİY (HK)</t>
  </si>
  <si>
    <t>MLZ (CA)</t>
  </si>
  <si>
    <t>Kayhan ATEŞ (DR)</t>
  </si>
  <si>
    <t>Görev Verecek Bölümler</t>
  </si>
  <si>
    <t>Görev Alacak Bölümler</t>
  </si>
  <si>
    <t>Merve Işıl PETEN (GÖREVLİ-İZİNLİ)</t>
  </si>
  <si>
    <t>Pedagojik</t>
  </si>
  <si>
    <r>
      <t xml:space="preserve">Pedagojik Formasyon
Ara ve Final Sınavlarında
görev almışlardır.
</t>
    </r>
    <r>
      <rPr>
        <b/>
        <sz val="10"/>
        <color rgb="FFC00000"/>
        <rFont val="Arial"/>
        <family val="2"/>
        <charset val="162"/>
      </rPr>
      <t>Kişi Başı 2 Görev
eksik yazılmalıdır.</t>
    </r>
  </si>
  <si>
    <t>Pedagojik X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</si>
</sst>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0.000000"/>
    <numFmt numFmtId="166" formatCode="0.000"/>
    <numFmt numFmtId="167" formatCode="0.0000"/>
    <numFmt numFmtId="168" formatCode="0.00000"/>
  </numFmts>
  <fonts count="14" x14ac:knownFonts="1">
    <font>
      <sz val="11"/>
      <color rgb="FF000000"/>
      <name val="Calibri"/>
      <scheme val="minor"/>
    </font>
    <font>
      <sz val="11"/>
      <color theme="1"/>
      <name val="Calibri"/>
      <family val="2"/>
      <charset val="162"/>
      <scheme val="minor"/>
    </font>
    <font>
      <b/>
      <sz val="11"/>
      <color rgb="FF000000"/>
      <name val="Arial"/>
      <family val="2"/>
      <charset val="162"/>
    </font>
    <font>
      <sz val="11"/>
      <color rgb="FF000000"/>
      <name val="Calibri"/>
      <family val="2"/>
      <charset val="162"/>
      <scheme val="minor"/>
    </font>
    <font>
      <sz val="10"/>
      <color rgb="FF000000"/>
      <name val="Arial"/>
      <family val="2"/>
      <charset val="162"/>
    </font>
    <font>
      <sz val="11"/>
      <name val="Verdana"/>
      <family val="2"/>
      <charset val="162"/>
    </font>
    <font>
      <b/>
      <sz val="11"/>
      <name val="Verdana"/>
      <family val="2"/>
      <charset val="162"/>
    </font>
    <font>
      <b/>
      <sz val="10"/>
      <color rgb="FF000000"/>
      <name val="Arial"/>
      <family val="2"/>
      <charset val="162"/>
    </font>
    <font>
      <sz val="10"/>
      <name val="Verdana"/>
      <family val="2"/>
      <charset val="162"/>
    </font>
    <font>
      <sz val="10"/>
      <color theme="1"/>
      <name val="Arial"/>
      <family val="2"/>
      <charset val="162"/>
    </font>
    <font>
      <sz val="8"/>
      <name val="Calibri"/>
      <family val="2"/>
      <charset val="162"/>
      <scheme val="minor"/>
    </font>
    <font>
      <b/>
      <sz val="10"/>
      <color theme="1"/>
      <name val="Arial"/>
      <family val="2"/>
      <charset val="162"/>
    </font>
    <font>
      <b/>
      <sz val="11"/>
      <color rgb="FF002060"/>
      <name val="Arial"/>
      <family val="2"/>
      <charset val="162"/>
    </font>
    <font>
      <b/>
      <sz val="10"/>
      <color rgb="FFC00000"/>
      <name val="Arial"/>
      <family val="2"/>
      <charset val="162"/>
    </font>
  </fonts>
  <fills count="2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rgb="FFFFFF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39997558519241921"/>
        <bgColor rgb="FFFFFF00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85">
    <xf numFmtId="0" fontId="0" fillId="0" borderId="0" xfId="0"/>
    <xf numFmtId="2" fontId="4" fillId="0" borderId="0" xfId="0" applyNumberFormat="1" applyFont="1" applyAlignment="1">
      <alignment horizontal="center" vertical="center"/>
    </xf>
    <xf numFmtId="0" fontId="5" fillId="0" borderId="0" xfId="2" applyFont="1"/>
    <xf numFmtId="0" fontId="5" fillId="0" borderId="0" xfId="2" applyFont="1" applyAlignment="1">
      <alignment horizontal="center" vertical="center"/>
    </xf>
    <xf numFmtId="0" fontId="5" fillId="0" borderId="0" xfId="2" applyFont="1" applyAlignment="1">
      <alignment horizontal="left" vertical="center"/>
    </xf>
    <xf numFmtId="0" fontId="5" fillId="0" borderId="2" xfId="2" applyFont="1" applyBorder="1" applyAlignment="1">
      <alignment horizontal="center" vertical="center"/>
    </xf>
    <xf numFmtId="0" fontId="5" fillId="0" borderId="3" xfId="2" applyFont="1" applyBorder="1" applyAlignment="1">
      <alignment horizontal="center" vertical="center"/>
    </xf>
    <xf numFmtId="0" fontId="5" fillId="2" borderId="4" xfId="2" applyFont="1" applyFill="1" applyBorder="1" applyAlignment="1">
      <alignment horizontal="left" vertical="center"/>
    </xf>
    <xf numFmtId="0" fontId="5" fillId="3" borderId="6" xfId="2" applyFont="1" applyFill="1" applyBorder="1" applyAlignment="1">
      <alignment horizontal="left" vertical="center"/>
    </xf>
    <xf numFmtId="0" fontId="5" fillId="3" borderId="4" xfId="2" applyFont="1" applyFill="1" applyBorder="1" applyAlignment="1">
      <alignment horizontal="left" vertical="center"/>
    </xf>
    <xf numFmtId="0" fontId="5" fillId="2" borderId="6" xfId="2" applyFont="1" applyFill="1" applyBorder="1" applyAlignment="1">
      <alignment horizontal="left" vertical="center"/>
    </xf>
    <xf numFmtId="0" fontId="5" fillId="4" borderId="4" xfId="2" applyFont="1" applyFill="1" applyBorder="1" applyAlignment="1">
      <alignment horizontal="left" vertical="center"/>
    </xf>
    <xf numFmtId="0" fontId="6" fillId="0" borderId="0" xfId="2" applyFont="1"/>
    <xf numFmtId="0" fontId="6" fillId="0" borderId="2" xfId="2" applyFont="1" applyBorder="1" applyAlignment="1">
      <alignment horizontal="center" vertical="center"/>
    </xf>
    <xf numFmtId="0" fontId="6" fillId="0" borderId="3" xfId="2" applyFont="1" applyBorder="1" applyAlignment="1">
      <alignment horizontal="center" vertical="center"/>
    </xf>
    <xf numFmtId="0" fontId="5" fillId="0" borderId="7" xfId="2" applyFont="1" applyBorder="1" applyAlignment="1">
      <alignment horizontal="center" vertical="center"/>
    </xf>
    <xf numFmtId="0" fontId="5" fillId="0" borderId="8" xfId="2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164" fontId="4" fillId="0" borderId="0" xfId="0" applyNumberFormat="1" applyFont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/>
    </xf>
    <xf numFmtId="0" fontId="8" fillId="6" borderId="1" xfId="2" applyFont="1" applyFill="1" applyBorder="1" applyAlignment="1">
      <alignment horizontal="left" vertical="center"/>
    </xf>
    <xf numFmtId="2" fontId="4" fillId="5" borderId="1" xfId="0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2" fontId="4" fillId="7" borderId="1" xfId="0" applyNumberFormat="1" applyFont="1" applyFill="1" applyBorder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2" fontId="9" fillId="0" borderId="10" xfId="0" applyNumberFormat="1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2" fontId="4" fillId="9" borderId="1" xfId="0" applyNumberFormat="1" applyFont="1" applyFill="1" applyBorder="1" applyAlignment="1">
      <alignment horizontal="center" vertical="center"/>
    </xf>
    <xf numFmtId="2" fontId="4" fillId="6" borderId="1" xfId="0" applyNumberFormat="1" applyFont="1" applyFill="1" applyBorder="1" applyAlignment="1">
      <alignment horizontal="center" vertical="center"/>
    </xf>
    <xf numFmtId="2" fontId="4" fillId="8" borderId="1" xfId="0" applyNumberFormat="1" applyFont="1" applyFill="1" applyBorder="1" applyAlignment="1">
      <alignment horizontal="center" vertical="center"/>
    </xf>
    <xf numFmtId="2" fontId="4" fillId="11" borderId="1" xfId="0" applyNumberFormat="1" applyFont="1" applyFill="1" applyBorder="1" applyAlignment="1">
      <alignment horizontal="center" vertical="center"/>
    </xf>
    <xf numFmtId="2" fontId="12" fillId="10" borderId="11" xfId="0" applyNumberFormat="1" applyFont="1" applyFill="1" applyBorder="1" applyAlignment="1">
      <alignment horizontal="center" vertical="center"/>
    </xf>
    <xf numFmtId="2" fontId="4" fillId="5" borderId="12" xfId="0" applyNumberFormat="1" applyFont="1" applyFill="1" applyBorder="1" applyAlignment="1">
      <alignment horizontal="center" vertical="center"/>
    </xf>
    <xf numFmtId="2" fontId="9" fillId="0" borderId="0" xfId="0" applyNumberFormat="1" applyFont="1" applyAlignment="1">
      <alignment horizontal="center" vertical="center"/>
    </xf>
    <xf numFmtId="168" fontId="4" fillId="11" borderId="1" xfId="0" applyNumberFormat="1" applyFont="1" applyFill="1" applyBorder="1" applyAlignment="1">
      <alignment horizontal="center" vertical="center"/>
    </xf>
    <xf numFmtId="167" fontId="4" fillId="13" borderId="1" xfId="0" applyNumberFormat="1" applyFont="1" applyFill="1" applyBorder="1" applyAlignment="1">
      <alignment horizontal="center" vertical="center"/>
    </xf>
    <xf numFmtId="2" fontId="4" fillId="7" borderId="13" xfId="0" applyNumberFormat="1" applyFont="1" applyFill="1" applyBorder="1" applyAlignment="1">
      <alignment horizontal="center" vertical="center"/>
    </xf>
    <xf numFmtId="168" fontId="4" fillId="12" borderId="1" xfId="0" applyNumberFormat="1" applyFont="1" applyFill="1" applyBorder="1" applyAlignment="1">
      <alignment horizontal="center" vertical="center"/>
    </xf>
    <xf numFmtId="2" fontId="2" fillId="12" borderId="1" xfId="0" applyNumberFormat="1" applyFont="1" applyFill="1" applyBorder="1" applyAlignment="1">
      <alignment horizontal="center" vertical="center"/>
    </xf>
    <xf numFmtId="0" fontId="7" fillId="14" borderId="1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left" vertical="center"/>
    </xf>
    <xf numFmtId="2" fontId="4" fillId="4" borderId="1" xfId="0" applyNumberFormat="1" applyFont="1" applyFill="1" applyBorder="1" applyAlignment="1">
      <alignment horizontal="center" vertical="center"/>
    </xf>
    <xf numFmtId="0" fontId="7" fillId="15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0" fontId="7" fillId="15" borderId="1" xfId="0" applyFont="1" applyFill="1" applyBorder="1" applyAlignment="1">
      <alignment horizontal="left" vertical="center"/>
    </xf>
    <xf numFmtId="0" fontId="7" fillId="0" borderId="14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7" fillId="6" borderId="11" xfId="0" applyFont="1" applyFill="1" applyBorder="1" applyAlignment="1">
      <alignment horizontal="center" vertical="center" wrapText="1"/>
    </xf>
    <xf numFmtId="0" fontId="4" fillId="6" borderId="11" xfId="0" applyFont="1" applyFill="1" applyBorder="1" applyAlignment="1">
      <alignment horizontal="center" vertical="center"/>
    </xf>
    <xf numFmtId="2" fontId="7" fillId="15" borderId="1" xfId="0" applyNumberFormat="1" applyFont="1" applyFill="1" applyBorder="1" applyAlignment="1">
      <alignment horizontal="left" vertical="center"/>
    </xf>
    <xf numFmtId="2" fontId="7" fillId="0" borderId="1" xfId="0" applyNumberFormat="1" applyFont="1" applyBorder="1" applyAlignment="1">
      <alignment horizontal="left" vertical="center"/>
    </xf>
    <xf numFmtId="0" fontId="4" fillId="16" borderId="1" xfId="0" applyFont="1" applyFill="1" applyBorder="1" applyAlignment="1">
      <alignment horizontal="left" vertical="center"/>
    </xf>
    <xf numFmtId="0" fontId="4" fillId="17" borderId="1" xfId="0" applyFont="1" applyFill="1" applyBorder="1" applyAlignment="1">
      <alignment horizontal="left" vertical="center"/>
    </xf>
    <xf numFmtId="0" fontId="4" fillId="18" borderId="1" xfId="0" applyFont="1" applyFill="1" applyBorder="1" applyAlignment="1">
      <alignment horizontal="left" vertical="center"/>
    </xf>
    <xf numFmtId="0" fontId="4" fillId="19" borderId="1" xfId="0" applyFont="1" applyFill="1" applyBorder="1" applyAlignment="1">
      <alignment horizontal="left" vertical="center"/>
    </xf>
    <xf numFmtId="0" fontId="4" fillId="20" borderId="1" xfId="0" applyFont="1" applyFill="1" applyBorder="1" applyAlignment="1">
      <alignment horizontal="left" vertical="center"/>
    </xf>
    <xf numFmtId="0" fontId="4" fillId="21" borderId="1" xfId="0" applyFont="1" applyFill="1" applyBorder="1" applyAlignment="1">
      <alignment horizontal="left" vertical="center"/>
    </xf>
    <xf numFmtId="0" fontId="4" fillId="22" borderId="1" xfId="0" applyFont="1" applyFill="1" applyBorder="1" applyAlignment="1">
      <alignment horizontal="left" vertical="center"/>
    </xf>
    <xf numFmtId="0" fontId="6" fillId="0" borderId="9" xfId="2" applyFont="1" applyBorder="1" applyAlignment="1">
      <alignment horizontal="left" vertical="center"/>
    </xf>
    <xf numFmtId="0" fontId="6" fillId="0" borderId="8" xfId="2" applyFont="1" applyBorder="1" applyAlignment="1">
      <alignment horizontal="left" vertical="center"/>
    </xf>
    <xf numFmtId="0" fontId="6" fillId="0" borderId="7" xfId="2" applyFont="1" applyBorder="1" applyAlignment="1">
      <alignment horizontal="left" vertical="center"/>
    </xf>
    <xf numFmtId="0" fontId="5" fillId="0" borderId="5" xfId="2" applyFont="1" applyBorder="1" applyAlignment="1">
      <alignment horizontal="center" vertical="center"/>
    </xf>
    <xf numFmtId="0" fontId="5" fillId="0" borderId="2" xfId="2" applyFont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0" fontId="5" fillId="0" borderId="3" xfId="2" applyFont="1" applyBorder="1" applyAlignment="1">
      <alignment horizontal="center" vertical="center"/>
    </xf>
    <xf numFmtId="0" fontId="6" fillId="0" borderId="4" xfId="2" applyFont="1" applyBorder="1" applyAlignment="1">
      <alignment horizontal="left" vertical="center"/>
    </xf>
    <xf numFmtId="0" fontId="7" fillId="4" borderId="1" xfId="0" applyFont="1" applyFill="1" applyBorder="1" applyAlignment="1">
      <alignment horizontal="center" vertical="center"/>
    </xf>
    <xf numFmtId="0" fontId="7" fillId="15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</cellXfs>
  <cellStyles count="3">
    <cellStyle name="Normal" xfId="0" builtinId="0"/>
    <cellStyle name="Normal 2" xfId="1" xr:uid="{5D2EA03F-9F55-4165-AB85-FFB67CFD4468}"/>
    <cellStyle name="Normal 3" xfId="2" xr:uid="{81A8A718-24BD-4D95-9550-98CC5FD23D3D}"/>
  </cellStyles>
  <dxfs count="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40D47-426B-49AC-A8EF-9525ED7418DB}">
  <dimension ref="A1:C50"/>
  <sheetViews>
    <sheetView topLeftCell="A19" workbookViewId="0">
      <selection sqref="A1:A2"/>
    </sheetView>
  </sheetViews>
  <sheetFormatPr defaultColWidth="9.1796875" defaultRowHeight="13.5" x14ac:dyDescent="0.25"/>
  <cols>
    <col min="1" max="1" width="50" style="4" bestFit="1" customWidth="1"/>
    <col min="2" max="3" width="16" style="3" customWidth="1"/>
    <col min="4" max="16384" width="9.1796875" style="2"/>
  </cols>
  <sheetData>
    <row r="1" spans="1:3" ht="21.75" customHeight="1" x14ac:dyDescent="0.25">
      <c r="A1" s="70" t="s">
        <v>64</v>
      </c>
      <c r="B1" s="16">
        <f>SUM(B3:B50)</f>
        <v>27</v>
      </c>
      <c r="C1" s="15">
        <f>SUM(C3:C50)</f>
        <v>10</v>
      </c>
    </row>
    <row r="2" spans="1:3" s="12" customFormat="1" ht="21.75" customHeight="1" thickBot="1" x14ac:dyDescent="0.3">
      <c r="A2" s="77"/>
      <c r="B2" s="14" t="s">
        <v>63</v>
      </c>
      <c r="C2" s="13" t="s">
        <v>62</v>
      </c>
    </row>
    <row r="3" spans="1:3" ht="21.75" customHeight="1" x14ac:dyDescent="0.25">
      <c r="A3" s="70" t="s">
        <v>0</v>
      </c>
      <c r="B3" s="71"/>
      <c r="C3" s="72"/>
    </row>
    <row r="4" spans="1:3" ht="21.75" customHeight="1" x14ac:dyDescent="0.25">
      <c r="A4" s="10" t="s">
        <v>61</v>
      </c>
      <c r="B4" s="75">
        <v>8</v>
      </c>
      <c r="C4" s="73">
        <v>0</v>
      </c>
    </row>
    <row r="5" spans="1:3" ht="21.75" customHeight="1" x14ac:dyDescent="0.25">
      <c r="A5" s="10" t="s">
        <v>60</v>
      </c>
      <c r="B5" s="75"/>
      <c r="C5" s="73"/>
    </row>
    <row r="6" spans="1:3" ht="21.75" customHeight="1" x14ac:dyDescent="0.25">
      <c r="A6" s="10" t="s">
        <v>1</v>
      </c>
      <c r="B6" s="75"/>
      <c r="C6" s="73"/>
    </row>
    <row r="7" spans="1:3" ht="21.75" customHeight="1" x14ac:dyDescent="0.25">
      <c r="A7" s="10" t="s">
        <v>4</v>
      </c>
      <c r="B7" s="75"/>
      <c r="C7" s="73"/>
    </row>
    <row r="8" spans="1:3" ht="21.75" customHeight="1" x14ac:dyDescent="0.25">
      <c r="A8" s="10" t="s">
        <v>2</v>
      </c>
      <c r="B8" s="75"/>
      <c r="C8" s="73"/>
    </row>
    <row r="9" spans="1:3" ht="21.75" customHeight="1" x14ac:dyDescent="0.25">
      <c r="A9" s="52" t="s">
        <v>82</v>
      </c>
      <c r="B9" s="75"/>
      <c r="C9" s="73"/>
    </row>
    <row r="10" spans="1:3" ht="21.75" customHeight="1" x14ac:dyDescent="0.25">
      <c r="A10" s="10" t="s">
        <v>59</v>
      </c>
      <c r="B10" s="75"/>
      <c r="C10" s="73"/>
    </row>
    <row r="11" spans="1:3" ht="21.75" customHeight="1" x14ac:dyDescent="0.25">
      <c r="A11" s="10" t="s">
        <v>3</v>
      </c>
      <c r="B11" s="75"/>
      <c r="C11" s="73"/>
    </row>
    <row r="12" spans="1:3" ht="21.75" customHeight="1" thickBot="1" x14ac:dyDescent="0.3">
      <c r="A12" s="7" t="s">
        <v>58</v>
      </c>
      <c r="B12" s="76"/>
      <c r="C12" s="74"/>
    </row>
    <row r="13" spans="1:3" ht="21.75" customHeight="1" x14ac:dyDescent="0.25">
      <c r="A13" s="70" t="s">
        <v>5</v>
      </c>
      <c r="B13" s="71"/>
      <c r="C13" s="72"/>
    </row>
    <row r="14" spans="1:3" ht="21.75" customHeight="1" x14ac:dyDescent="0.25">
      <c r="A14" s="8" t="s">
        <v>57</v>
      </c>
      <c r="B14" s="75">
        <v>1</v>
      </c>
      <c r="C14" s="73">
        <v>1</v>
      </c>
    </row>
    <row r="15" spans="1:3" ht="21.75" customHeight="1" thickBot="1" x14ac:dyDescent="0.3">
      <c r="A15" s="7" t="s">
        <v>6</v>
      </c>
      <c r="B15" s="76"/>
      <c r="C15" s="74"/>
    </row>
    <row r="16" spans="1:3" ht="21.75" customHeight="1" x14ac:dyDescent="0.25">
      <c r="A16" s="70" t="s">
        <v>7</v>
      </c>
      <c r="B16" s="71"/>
      <c r="C16" s="72"/>
    </row>
    <row r="17" spans="1:3" ht="21.75" customHeight="1" x14ac:dyDescent="0.25">
      <c r="A17" s="8" t="s">
        <v>8</v>
      </c>
      <c r="B17" s="75">
        <v>5</v>
      </c>
      <c r="C17" s="73">
        <v>2</v>
      </c>
    </row>
    <row r="18" spans="1:3" ht="21.75" customHeight="1" x14ac:dyDescent="0.25">
      <c r="A18" s="8" t="s">
        <v>79</v>
      </c>
      <c r="B18" s="75"/>
      <c r="C18" s="73"/>
    </row>
    <row r="19" spans="1:3" ht="21.75" customHeight="1" x14ac:dyDescent="0.25">
      <c r="A19" s="10" t="s">
        <v>9</v>
      </c>
      <c r="B19" s="75"/>
      <c r="C19" s="73"/>
    </row>
    <row r="20" spans="1:3" ht="21.75" customHeight="1" x14ac:dyDescent="0.25">
      <c r="A20" s="10" t="s">
        <v>12</v>
      </c>
      <c r="B20" s="75"/>
      <c r="C20" s="73"/>
    </row>
    <row r="21" spans="1:3" ht="21.75" customHeight="1" x14ac:dyDescent="0.25">
      <c r="A21" s="10" t="s">
        <v>13</v>
      </c>
      <c r="B21" s="75"/>
      <c r="C21" s="73"/>
    </row>
    <row r="22" spans="1:3" ht="21.75" customHeight="1" x14ac:dyDescent="0.25">
      <c r="A22" s="10" t="s">
        <v>11</v>
      </c>
      <c r="B22" s="75"/>
      <c r="C22" s="73"/>
    </row>
    <row r="23" spans="1:3" ht="21.75" customHeight="1" thickBot="1" x14ac:dyDescent="0.3">
      <c r="A23" s="7" t="s">
        <v>10</v>
      </c>
      <c r="B23" s="76"/>
      <c r="C23" s="74"/>
    </row>
    <row r="24" spans="1:3" ht="21.75" customHeight="1" x14ac:dyDescent="0.25">
      <c r="A24" s="70" t="s">
        <v>14</v>
      </c>
      <c r="B24" s="71"/>
      <c r="C24" s="72"/>
    </row>
    <row r="25" spans="1:3" ht="21.75" customHeight="1" x14ac:dyDescent="0.25">
      <c r="A25" s="10" t="s">
        <v>16</v>
      </c>
      <c r="B25" s="75">
        <v>4</v>
      </c>
      <c r="C25" s="73">
        <v>0</v>
      </c>
    </row>
    <row r="26" spans="1:3" ht="21.75" customHeight="1" x14ac:dyDescent="0.25">
      <c r="A26" s="10" t="s">
        <v>15</v>
      </c>
      <c r="B26" s="75"/>
      <c r="C26" s="73"/>
    </row>
    <row r="27" spans="1:3" ht="21.75" customHeight="1" x14ac:dyDescent="0.25">
      <c r="A27" s="10" t="s">
        <v>18</v>
      </c>
      <c r="B27" s="75"/>
      <c r="C27" s="73"/>
    </row>
    <row r="28" spans="1:3" ht="21.75" customHeight="1" thickBot="1" x14ac:dyDescent="0.3">
      <c r="A28" s="7" t="s">
        <v>17</v>
      </c>
      <c r="B28" s="76"/>
      <c r="C28" s="74"/>
    </row>
    <row r="29" spans="1:3" ht="21.75" customHeight="1" x14ac:dyDescent="0.25">
      <c r="A29" s="70" t="s">
        <v>19</v>
      </c>
      <c r="B29" s="71"/>
      <c r="C29" s="72"/>
    </row>
    <row r="30" spans="1:3" ht="21.75" customHeight="1" x14ac:dyDescent="0.25">
      <c r="A30" s="8" t="s">
        <v>56</v>
      </c>
      <c r="B30" s="75">
        <v>4</v>
      </c>
      <c r="C30" s="73">
        <v>2</v>
      </c>
    </row>
    <row r="31" spans="1:3" ht="21.75" customHeight="1" x14ac:dyDescent="0.25">
      <c r="A31" s="8" t="s">
        <v>20</v>
      </c>
      <c r="B31" s="75"/>
      <c r="C31" s="73"/>
    </row>
    <row r="32" spans="1:3" ht="21.75" customHeight="1" x14ac:dyDescent="0.25">
      <c r="A32" s="10" t="s">
        <v>55</v>
      </c>
      <c r="B32" s="75"/>
      <c r="C32" s="73"/>
    </row>
    <row r="33" spans="1:3" ht="21.75" customHeight="1" x14ac:dyDescent="0.25">
      <c r="A33" s="10" t="s">
        <v>22</v>
      </c>
      <c r="B33" s="75"/>
      <c r="C33" s="73"/>
    </row>
    <row r="34" spans="1:3" ht="21.75" customHeight="1" x14ac:dyDescent="0.25">
      <c r="A34" s="10" t="s">
        <v>21</v>
      </c>
      <c r="B34" s="75"/>
      <c r="C34" s="73"/>
    </row>
    <row r="35" spans="1:3" ht="21.75" customHeight="1" thickBot="1" x14ac:dyDescent="0.3">
      <c r="A35" s="7" t="s">
        <v>23</v>
      </c>
      <c r="B35" s="76"/>
      <c r="C35" s="74"/>
    </row>
    <row r="36" spans="1:3" ht="21.75" customHeight="1" x14ac:dyDescent="0.25">
      <c r="A36" s="70" t="s">
        <v>24</v>
      </c>
      <c r="B36" s="71"/>
      <c r="C36" s="72"/>
    </row>
    <row r="37" spans="1:3" ht="21.75" customHeight="1" x14ac:dyDescent="0.25">
      <c r="A37" s="8" t="s">
        <v>27</v>
      </c>
      <c r="B37" s="75">
        <v>0</v>
      </c>
      <c r="C37" s="73">
        <v>3</v>
      </c>
    </row>
    <row r="38" spans="1:3" ht="21.75" customHeight="1" x14ac:dyDescent="0.25">
      <c r="A38" s="8" t="s">
        <v>26</v>
      </c>
      <c r="B38" s="75"/>
      <c r="C38" s="73"/>
    </row>
    <row r="39" spans="1:3" ht="21.75" customHeight="1" x14ac:dyDescent="0.25">
      <c r="A39" s="8" t="s">
        <v>25</v>
      </c>
      <c r="B39" s="75"/>
      <c r="C39" s="73"/>
    </row>
    <row r="40" spans="1:3" ht="21.75" customHeight="1" thickBot="1" x14ac:dyDescent="0.3">
      <c r="A40" s="11" t="s">
        <v>54</v>
      </c>
      <c r="B40" s="76"/>
      <c r="C40" s="74"/>
    </row>
    <row r="41" spans="1:3" ht="21.75" customHeight="1" x14ac:dyDescent="0.25">
      <c r="A41" s="70" t="s">
        <v>28</v>
      </c>
      <c r="B41" s="71"/>
      <c r="C41" s="72"/>
    </row>
    <row r="42" spans="1:3" ht="21.75" customHeight="1" x14ac:dyDescent="0.25">
      <c r="A42" s="10" t="s">
        <v>30</v>
      </c>
      <c r="B42" s="75">
        <v>4</v>
      </c>
      <c r="C42" s="73">
        <v>0</v>
      </c>
    </row>
    <row r="43" spans="1:3" ht="21.75" customHeight="1" x14ac:dyDescent="0.25">
      <c r="A43" s="10" t="s">
        <v>29</v>
      </c>
      <c r="B43" s="75"/>
      <c r="C43" s="73"/>
    </row>
    <row r="44" spans="1:3" ht="21.75" customHeight="1" x14ac:dyDescent="0.25">
      <c r="A44" s="10" t="s">
        <v>32</v>
      </c>
      <c r="B44" s="75"/>
      <c r="C44" s="73"/>
    </row>
    <row r="45" spans="1:3" ht="21.75" customHeight="1" thickBot="1" x14ac:dyDescent="0.3">
      <c r="A45" s="7" t="s">
        <v>31</v>
      </c>
      <c r="B45" s="76"/>
      <c r="C45" s="74"/>
    </row>
    <row r="46" spans="1:3" ht="21.75" customHeight="1" x14ac:dyDescent="0.25">
      <c r="A46" s="70" t="s">
        <v>33</v>
      </c>
      <c r="B46" s="71"/>
      <c r="C46" s="72"/>
    </row>
    <row r="47" spans="1:3" ht="21.75" customHeight="1" thickBot="1" x14ac:dyDescent="0.3">
      <c r="A47" s="9" t="s">
        <v>53</v>
      </c>
      <c r="B47" s="6">
        <v>0</v>
      </c>
      <c r="C47" s="5">
        <v>1</v>
      </c>
    </row>
    <row r="48" spans="1:3" ht="21.75" customHeight="1" x14ac:dyDescent="0.25">
      <c r="A48" s="70" t="s">
        <v>34</v>
      </c>
      <c r="B48" s="71"/>
      <c r="C48" s="72"/>
    </row>
    <row r="49" spans="1:3" ht="21.75" customHeight="1" x14ac:dyDescent="0.25">
      <c r="A49" s="8" t="s">
        <v>35</v>
      </c>
      <c r="B49" s="75">
        <v>1</v>
      </c>
      <c r="C49" s="73">
        <v>1</v>
      </c>
    </row>
    <row r="50" spans="1:3" ht="21.75" customHeight="1" thickBot="1" x14ac:dyDescent="0.3">
      <c r="A50" s="7" t="s">
        <v>36</v>
      </c>
      <c r="B50" s="76"/>
      <c r="C50" s="74"/>
    </row>
  </sheetData>
  <mergeCells count="26">
    <mergeCell ref="A1:A2"/>
    <mergeCell ref="C4:C12"/>
    <mergeCell ref="B4:B12"/>
    <mergeCell ref="C14:C15"/>
    <mergeCell ref="B14:B15"/>
    <mergeCell ref="A3:C3"/>
    <mergeCell ref="B49:B50"/>
    <mergeCell ref="C42:C45"/>
    <mergeCell ref="B42:B45"/>
    <mergeCell ref="C37:C40"/>
    <mergeCell ref="B37:B40"/>
    <mergeCell ref="C49:C50"/>
    <mergeCell ref="A48:C48"/>
    <mergeCell ref="A46:C46"/>
    <mergeCell ref="A41:C41"/>
    <mergeCell ref="A36:C36"/>
    <mergeCell ref="A29:C29"/>
    <mergeCell ref="A24:C24"/>
    <mergeCell ref="C30:C35"/>
    <mergeCell ref="B30:B35"/>
    <mergeCell ref="A16:C16"/>
    <mergeCell ref="A13:C13"/>
    <mergeCell ref="C25:C28"/>
    <mergeCell ref="B25:B28"/>
    <mergeCell ref="C17:C23"/>
    <mergeCell ref="B17:B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O940"/>
  <sheetViews>
    <sheetView tabSelected="1" workbookViewId="0">
      <selection activeCell="H18" sqref="H18"/>
    </sheetView>
  </sheetViews>
  <sheetFormatPr defaultColWidth="14.453125" defaultRowHeight="15" customHeight="1" x14ac:dyDescent="0.35"/>
  <cols>
    <col min="1" max="2" width="11.7265625" style="18" customWidth="1"/>
    <col min="3" max="3" width="34" style="20" bestFit="1" customWidth="1"/>
    <col min="4" max="12" width="17.1796875" style="18" customWidth="1"/>
    <col min="13" max="13" width="10.54296875" style="18" customWidth="1"/>
    <col min="14" max="15" width="24.453125" style="18" customWidth="1"/>
    <col min="16" max="16384" width="14.453125" style="18"/>
  </cols>
  <sheetData>
    <row r="1" spans="1:15" ht="20.149999999999999" customHeight="1" x14ac:dyDescent="0.35">
      <c r="A1" s="17">
        <f>SUM(A3:A11)</f>
        <v>27</v>
      </c>
      <c r="B1" s="17">
        <f>SUM(B3:B11)</f>
        <v>9</v>
      </c>
      <c r="C1" s="19"/>
      <c r="D1" s="17"/>
      <c r="E1" s="17"/>
      <c r="F1" s="17"/>
      <c r="G1" s="17"/>
      <c r="H1" s="17"/>
      <c r="I1" s="17"/>
      <c r="J1" s="17"/>
      <c r="K1" s="17"/>
    </row>
    <row r="2" spans="1:15" ht="20.149999999999999" customHeight="1" x14ac:dyDescent="0.35">
      <c r="A2" s="24" t="s">
        <v>63</v>
      </c>
      <c r="B2" s="24" t="s">
        <v>62</v>
      </c>
      <c r="C2" s="25" t="s">
        <v>67</v>
      </c>
      <c r="D2" s="57" t="s">
        <v>70</v>
      </c>
      <c r="E2" s="54" t="s">
        <v>85</v>
      </c>
      <c r="F2" s="59" t="s">
        <v>66</v>
      </c>
      <c r="G2" s="26" t="s">
        <v>41</v>
      </c>
      <c r="H2" s="26" t="s">
        <v>68</v>
      </c>
      <c r="I2" s="26" t="s">
        <v>63</v>
      </c>
      <c r="J2" s="32" t="s">
        <v>42</v>
      </c>
      <c r="K2" s="32" t="s">
        <v>71</v>
      </c>
      <c r="M2" s="1"/>
      <c r="N2" s="79" t="s">
        <v>83</v>
      </c>
      <c r="O2" s="79"/>
    </row>
    <row r="3" spans="1:15" ht="20.149999999999999" customHeight="1" x14ac:dyDescent="0.35">
      <c r="A3" s="17">
        <v>8</v>
      </c>
      <c r="B3" s="17">
        <v>0</v>
      </c>
      <c r="C3" s="63" t="s">
        <v>43</v>
      </c>
      <c r="D3" s="58">
        <v>91</v>
      </c>
      <c r="E3" s="55">
        <v>1</v>
      </c>
      <c r="F3" s="60">
        <v>0</v>
      </c>
      <c r="G3" s="17">
        <f>D3+E3*2+F3</f>
        <v>93</v>
      </c>
      <c r="H3" s="23">
        <f>A3+B3</f>
        <v>8</v>
      </c>
      <c r="I3" s="22">
        <f t="shared" ref="I3:I11" si="0">A3</f>
        <v>8</v>
      </c>
      <c r="J3" s="36">
        <f>$H$15*I3</f>
        <v>132.61261261261262</v>
      </c>
      <c r="K3" s="22">
        <f t="shared" ref="K3:K8" si="1">J3-G3+F3</f>
        <v>39.612612612612622</v>
      </c>
      <c r="L3" s="1">
        <v>40</v>
      </c>
      <c r="M3" s="54" t="s">
        <v>72</v>
      </c>
      <c r="N3" s="61" t="s">
        <v>2</v>
      </c>
      <c r="O3" s="80" t="s">
        <v>84</v>
      </c>
    </row>
    <row r="4" spans="1:15" ht="20.149999999999999" customHeight="1" x14ac:dyDescent="0.35">
      <c r="A4" s="17">
        <v>1</v>
      </c>
      <c r="B4" s="17">
        <v>1</v>
      </c>
      <c r="C4" s="66" t="s">
        <v>44</v>
      </c>
      <c r="D4" s="58">
        <v>26</v>
      </c>
      <c r="E4" s="55"/>
      <c r="F4" s="60">
        <v>9</v>
      </c>
      <c r="G4" s="17">
        <f t="shared" ref="G4:G11" si="2">D4+E4*2+F4</f>
        <v>35</v>
      </c>
      <c r="H4" s="23">
        <f t="shared" ref="H4:H11" si="3">A4+B4</f>
        <v>2</v>
      </c>
      <c r="I4" s="22">
        <f t="shared" si="0"/>
        <v>1</v>
      </c>
      <c r="J4" s="36">
        <f>$H$15*I4+E15</f>
        <v>20.290465465465466</v>
      </c>
      <c r="K4" s="22">
        <f t="shared" si="1"/>
        <v>-5.7095345345345336</v>
      </c>
      <c r="L4" s="1">
        <v>-5</v>
      </c>
      <c r="M4" s="26"/>
      <c r="N4" s="62"/>
      <c r="O4" s="80"/>
    </row>
    <row r="5" spans="1:15" ht="20.149999999999999" customHeight="1" x14ac:dyDescent="0.35">
      <c r="A5" s="17">
        <v>6</v>
      </c>
      <c r="B5" s="17">
        <v>1</v>
      </c>
      <c r="C5" s="64" t="s">
        <v>45</v>
      </c>
      <c r="D5" s="58">
        <v>127</v>
      </c>
      <c r="E5" s="55">
        <v>1</v>
      </c>
      <c r="F5" s="60">
        <v>0</v>
      </c>
      <c r="G5" s="17">
        <f t="shared" si="2"/>
        <v>129</v>
      </c>
      <c r="H5" s="23">
        <f t="shared" si="3"/>
        <v>7</v>
      </c>
      <c r="I5" s="22">
        <f>A5</f>
        <v>6</v>
      </c>
      <c r="J5" s="36">
        <f>$H$15*I5+E16</f>
        <v>109.47334834834835</v>
      </c>
      <c r="K5" s="22">
        <f t="shared" si="1"/>
        <v>-19.526651651651648</v>
      </c>
      <c r="L5" s="1">
        <v>-19</v>
      </c>
      <c r="M5" s="54" t="s">
        <v>37</v>
      </c>
      <c r="N5" s="61" t="s">
        <v>13</v>
      </c>
      <c r="O5" s="80"/>
    </row>
    <row r="6" spans="1:15" ht="20.149999999999999" customHeight="1" x14ac:dyDescent="0.35">
      <c r="A6" s="17">
        <v>4</v>
      </c>
      <c r="B6" s="17">
        <v>0</v>
      </c>
      <c r="C6" s="67" t="s">
        <v>46</v>
      </c>
      <c r="D6" s="58">
        <v>73</v>
      </c>
      <c r="E6" s="55">
        <v>1</v>
      </c>
      <c r="F6" s="60">
        <v>0</v>
      </c>
      <c r="G6" s="17">
        <f t="shared" si="2"/>
        <v>75</v>
      </c>
      <c r="H6" s="23">
        <f t="shared" si="3"/>
        <v>4</v>
      </c>
      <c r="I6" s="22">
        <f t="shared" si="0"/>
        <v>4</v>
      </c>
      <c r="J6" s="36">
        <f>$H$15*I6</f>
        <v>66.306306306306311</v>
      </c>
      <c r="K6" s="22">
        <f t="shared" si="1"/>
        <v>-8.6936936936936888</v>
      </c>
      <c r="L6" s="1">
        <v>-8</v>
      </c>
      <c r="M6" s="54" t="s">
        <v>74</v>
      </c>
      <c r="N6" s="56" t="s">
        <v>18</v>
      </c>
      <c r="O6" s="80"/>
    </row>
    <row r="7" spans="1:15" ht="20.149999999999999" customHeight="1" x14ac:dyDescent="0.35">
      <c r="A7" s="17">
        <v>4</v>
      </c>
      <c r="B7" s="17">
        <v>2</v>
      </c>
      <c r="C7" s="68" t="s">
        <v>47</v>
      </c>
      <c r="D7" s="58">
        <v>80</v>
      </c>
      <c r="E7" s="55">
        <v>1</v>
      </c>
      <c r="F7" s="60">
        <v>8</v>
      </c>
      <c r="G7" s="17">
        <f>D7+E7*2+F7</f>
        <v>90</v>
      </c>
      <c r="H7" s="23">
        <f t="shared" si="3"/>
        <v>6</v>
      </c>
      <c r="I7" s="22">
        <f t="shared" si="0"/>
        <v>4</v>
      </c>
      <c r="J7" s="36">
        <f>$H$15*I7+E17+E18</f>
        <v>80.734084084084088</v>
      </c>
      <c r="K7" s="22">
        <f t="shared" si="1"/>
        <v>-1.2659159159159117</v>
      </c>
      <c r="L7" s="1">
        <v>-1</v>
      </c>
      <c r="M7" s="54" t="s">
        <v>39</v>
      </c>
      <c r="N7" s="56" t="s">
        <v>55</v>
      </c>
      <c r="O7" s="80"/>
    </row>
    <row r="8" spans="1:15" ht="20.149999999999999" customHeight="1" x14ac:dyDescent="0.35">
      <c r="A8" s="17">
        <v>0</v>
      </c>
      <c r="B8" s="17">
        <v>3</v>
      </c>
      <c r="C8" s="65" t="s">
        <v>48</v>
      </c>
      <c r="D8" s="58">
        <v>20</v>
      </c>
      <c r="E8" s="55"/>
      <c r="F8" s="60">
        <v>14</v>
      </c>
      <c r="G8" s="17">
        <f>D8+E8*2+F8</f>
        <v>34</v>
      </c>
      <c r="H8" s="23">
        <f t="shared" si="3"/>
        <v>3</v>
      </c>
      <c r="I8" s="22">
        <f t="shared" si="0"/>
        <v>0</v>
      </c>
      <c r="J8" s="36">
        <f>$H$15*I8+E19+E20+E21</f>
        <v>20.241666666666664</v>
      </c>
      <c r="K8" s="22">
        <f t="shared" si="1"/>
        <v>0.24166666666666359</v>
      </c>
      <c r="L8" s="1">
        <v>1</v>
      </c>
      <c r="M8" s="26"/>
      <c r="N8" s="25"/>
      <c r="O8" s="80"/>
    </row>
    <row r="9" spans="1:15" ht="20.149999999999999" customHeight="1" x14ac:dyDescent="0.35">
      <c r="A9" s="17">
        <v>4</v>
      </c>
      <c r="B9" s="17">
        <v>0</v>
      </c>
      <c r="C9" s="69" t="s">
        <v>49</v>
      </c>
      <c r="D9" s="58">
        <v>90</v>
      </c>
      <c r="E9" s="55"/>
      <c r="F9" s="60">
        <v>0</v>
      </c>
      <c r="G9" s="17">
        <f t="shared" si="2"/>
        <v>90</v>
      </c>
      <c r="H9" s="23">
        <f t="shared" si="3"/>
        <v>4</v>
      </c>
      <c r="I9" s="22">
        <f t="shared" si="0"/>
        <v>4</v>
      </c>
      <c r="J9" s="36">
        <f>$H$15*I9</f>
        <v>66.306306306306311</v>
      </c>
      <c r="K9" s="22">
        <f t="shared" ref="K9:K11" si="4">J9-G9+F9</f>
        <v>-23.693693693693689</v>
      </c>
      <c r="L9" s="1">
        <v>-24</v>
      </c>
      <c r="M9" s="26"/>
      <c r="N9" s="25"/>
      <c r="O9" s="80"/>
    </row>
    <row r="10" spans="1:15" ht="20.149999999999999" customHeight="1" x14ac:dyDescent="0.35">
      <c r="A10" s="17">
        <v>0</v>
      </c>
      <c r="B10" s="17">
        <v>1</v>
      </c>
      <c r="C10" s="19" t="s">
        <v>50</v>
      </c>
      <c r="D10" s="58">
        <v>0</v>
      </c>
      <c r="E10" s="55"/>
      <c r="F10" s="60">
        <v>3</v>
      </c>
      <c r="G10" s="17">
        <f t="shared" si="2"/>
        <v>3</v>
      </c>
      <c r="H10" s="23">
        <f t="shared" si="3"/>
        <v>1</v>
      </c>
      <c r="I10" s="22">
        <f t="shared" si="0"/>
        <v>0</v>
      </c>
      <c r="J10" s="36">
        <f>$H$15*I10+E22</f>
        <v>7.9138888888888879</v>
      </c>
      <c r="K10" s="22">
        <f t="shared" si="4"/>
        <v>7.9138888888888879</v>
      </c>
      <c r="L10" s="1">
        <v>8</v>
      </c>
      <c r="M10" s="26"/>
      <c r="N10" s="25"/>
      <c r="O10" s="80"/>
    </row>
    <row r="11" spans="1:15" ht="20.149999999999999" customHeight="1" x14ac:dyDescent="0.35">
      <c r="A11" s="17">
        <v>0</v>
      </c>
      <c r="B11" s="17">
        <v>1</v>
      </c>
      <c r="C11" s="19" t="s">
        <v>51</v>
      </c>
      <c r="D11" s="58">
        <v>0</v>
      </c>
      <c r="E11" s="55"/>
      <c r="F11" s="60">
        <v>3</v>
      </c>
      <c r="G11" s="17">
        <f t="shared" si="2"/>
        <v>3</v>
      </c>
      <c r="H11" s="23">
        <f t="shared" si="3"/>
        <v>1</v>
      </c>
      <c r="I11" s="22">
        <f t="shared" si="0"/>
        <v>0</v>
      </c>
      <c r="J11" s="45">
        <f>$H$15*I11+E23</f>
        <v>7.9138888888888879</v>
      </c>
      <c r="K11" s="22">
        <f t="shared" si="4"/>
        <v>7.9138888888888879</v>
      </c>
      <c r="L11" s="1">
        <v>8</v>
      </c>
      <c r="M11" s="26"/>
      <c r="N11" s="25"/>
      <c r="O11" s="80"/>
    </row>
    <row r="12" spans="1:15" ht="20.149999999999999" customHeight="1" x14ac:dyDescent="0.35">
      <c r="D12" s="58">
        <f t="shared" ref="D12:F12" si="5">SUM(D3:D11)</f>
        <v>507</v>
      </c>
      <c r="E12" s="55">
        <f t="shared" si="5"/>
        <v>4</v>
      </c>
      <c r="F12" s="60">
        <f t="shared" si="5"/>
        <v>37</v>
      </c>
      <c r="G12" s="44">
        <f>D12+E12*2+F12</f>
        <v>552</v>
      </c>
      <c r="H12" s="33">
        <f>SUM(H3:H11)</f>
        <v>36</v>
      </c>
      <c r="I12" s="48">
        <f>SUM(I3:I11)</f>
        <v>27</v>
      </c>
      <c r="J12" s="42">
        <f>SUM(J3:J11)</f>
        <v>511.79256756756763</v>
      </c>
      <c r="K12" s="21"/>
    </row>
    <row r="13" spans="1:15" ht="20.149999999999999" customHeight="1" x14ac:dyDescent="0.35">
      <c r="G13" s="42">
        <f>G12-F12</f>
        <v>515</v>
      </c>
      <c r="H13" s="43">
        <f>G13/H12</f>
        <v>14.305555555555555</v>
      </c>
      <c r="I13" s="47">
        <f>G22/I12</f>
        <v>16.69537037037037</v>
      </c>
      <c r="J13" s="1"/>
      <c r="K13" s="34">
        <f>SUM(K3:K11)</f>
        <v>-3.2074324324324088</v>
      </c>
    </row>
    <row r="14" spans="1:15" ht="20.149999999999999" customHeight="1" x14ac:dyDescent="0.35">
      <c r="A14" s="83" t="s">
        <v>69</v>
      </c>
      <c r="B14" s="83"/>
      <c r="C14" s="29" t="s">
        <v>62</v>
      </c>
      <c r="D14" s="27" t="s">
        <v>52</v>
      </c>
      <c r="E14" s="27" t="s">
        <v>65</v>
      </c>
      <c r="G14" s="1"/>
    </row>
    <row r="15" spans="1:15" ht="20.149999999999999" customHeight="1" x14ac:dyDescent="0.35">
      <c r="A15" s="84" t="s">
        <v>44</v>
      </c>
      <c r="B15" s="84"/>
      <c r="C15" s="30" t="s">
        <v>57</v>
      </c>
      <c r="D15" s="28">
        <v>9</v>
      </c>
      <c r="E15" s="40">
        <f>($H$13-D15)*0.7</f>
        <v>3.7138888888888886</v>
      </c>
      <c r="F15" s="1">
        <v>4</v>
      </c>
      <c r="H15" s="50">
        <f>G12/(A1+B1*0.7)</f>
        <v>16.576576576576578</v>
      </c>
      <c r="I15" s="49">
        <f>H15/I13</f>
        <v>0.99288462662651567</v>
      </c>
      <c r="J15" s="46">
        <f>J12/G13</f>
        <v>0.99377197585935462</v>
      </c>
    </row>
    <row r="16" spans="1:15" ht="20.149999999999999" customHeight="1" x14ac:dyDescent="0.35">
      <c r="A16" s="84" t="s">
        <v>45</v>
      </c>
      <c r="B16" s="84"/>
      <c r="C16" s="30" t="s">
        <v>79</v>
      </c>
      <c r="D16" s="28">
        <v>0</v>
      </c>
      <c r="E16" s="40">
        <f>($H$13-D16)*0.7</f>
        <v>10.013888888888888</v>
      </c>
      <c r="F16" s="1">
        <v>10</v>
      </c>
    </row>
    <row r="17" spans="1:12" ht="20.149999999999999" customHeight="1" x14ac:dyDescent="0.35">
      <c r="A17" s="84" t="s">
        <v>47</v>
      </c>
      <c r="B17" s="84"/>
      <c r="C17" s="30" t="s">
        <v>56</v>
      </c>
      <c r="D17" s="28">
        <v>0</v>
      </c>
      <c r="E17" s="40">
        <f>($H$13-D17)*0.7</f>
        <v>10.013888888888888</v>
      </c>
      <c r="F17" s="1">
        <v>10</v>
      </c>
      <c r="G17" s="21"/>
    </row>
    <row r="18" spans="1:12" ht="20.149999999999999" customHeight="1" x14ac:dyDescent="0.35">
      <c r="A18" s="84" t="s">
        <v>47</v>
      </c>
      <c r="B18" s="84"/>
      <c r="C18" s="30" t="s">
        <v>20</v>
      </c>
      <c r="D18" s="28">
        <v>8</v>
      </c>
      <c r="E18" s="40">
        <f t="shared" ref="E18:E23" si="6">($H$13-D18)*0.7</f>
        <v>4.4138888888888888</v>
      </c>
      <c r="F18" s="1">
        <v>4</v>
      </c>
    </row>
    <row r="19" spans="1:12" ht="20.149999999999999" customHeight="1" x14ac:dyDescent="0.35">
      <c r="A19" s="84" t="s">
        <v>48</v>
      </c>
      <c r="B19" s="84"/>
      <c r="C19" s="30" t="s">
        <v>27</v>
      </c>
      <c r="D19" s="28">
        <v>4</v>
      </c>
      <c r="E19" s="40">
        <f>($H$13-D19)*0.7</f>
        <v>7.2138888888888886</v>
      </c>
      <c r="F19" s="1">
        <v>7</v>
      </c>
    </row>
    <row r="20" spans="1:12" ht="20.149999999999999" customHeight="1" x14ac:dyDescent="0.35">
      <c r="A20" s="84" t="s">
        <v>48</v>
      </c>
      <c r="B20" s="84"/>
      <c r="C20" s="30" t="s">
        <v>26</v>
      </c>
      <c r="D20" s="28">
        <v>7</v>
      </c>
      <c r="E20" s="40">
        <f t="shared" si="6"/>
        <v>5.113888888888888</v>
      </c>
      <c r="F20" s="1">
        <v>5</v>
      </c>
    </row>
    <row r="21" spans="1:12" ht="20.149999999999999" customHeight="1" x14ac:dyDescent="0.35">
      <c r="A21" s="84" t="s">
        <v>48</v>
      </c>
      <c r="B21" s="84"/>
      <c r="C21" s="30" t="s">
        <v>25</v>
      </c>
      <c r="D21" s="28">
        <v>3</v>
      </c>
      <c r="E21" s="40">
        <f>($H$13-D21)*0.7</f>
        <v>7.9138888888888879</v>
      </c>
      <c r="F21" s="1">
        <v>8</v>
      </c>
    </row>
    <row r="22" spans="1:12" ht="20.149999999999999" customHeight="1" x14ac:dyDescent="0.35">
      <c r="A22" s="84" t="s">
        <v>50</v>
      </c>
      <c r="B22" s="84"/>
      <c r="C22" s="30" t="s">
        <v>53</v>
      </c>
      <c r="D22" s="28">
        <v>3</v>
      </c>
      <c r="E22" s="40">
        <f t="shared" si="6"/>
        <v>7.9138888888888879</v>
      </c>
      <c r="F22" s="1">
        <v>8</v>
      </c>
      <c r="G22" s="39">
        <f>G13-E24</f>
        <v>450.77499999999998</v>
      </c>
    </row>
    <row r="23" spans="1:12" ht="20.149999999999999" customHeight="1" x14ac:dyDescent="0.35">
      <c r="A23" s="84" t="s">
        <v>51</v>
      </c>
      <c r="B23" s="84"/>
      <c r="C23" s="30" t="s">
        <v>35</v>
      </c>
      <c r="D23" s="28">
        <v>3</v>
      </c>
      <c r="E23" s="40">
        <f t="shared" si="6"/>
        <v>7.9138888888888879</v>
      </c>
      <c r="F23" s="1">
        <v>8</v>
      </c>
    </row>
    <row r="24" spans="1:12" ht="20.149999999999999" customHeight="1" x14ac:dyDescent="0.35">
      <c r="A24" s="1"/>
      <c r="B24" s="1"/>
      <c r="C24" s="1"/>
      <c r="D24" s="33">
        <f>SUM(D15:D23)</f>
        <v>37</v>
      </c>
      <c r="E24" s="31">
        <f>SUM(E15:E23)</f>
        <v>64.224999999999994</v>
      </c>
      <c r="F24" s="1"/>
    </row>
    <row r="25" spans="1:12" ht="20.149999999999999" customHeight="1" x14ac:dyDescent="0.35"/>
    <row r="26" spans="1:12" ht="21.75" customHeight="1" x14ac:dyDescent="0.35">
      <c r="D26" s="78" t="s">
        <v>80</v>
      </c>
      <c r="E26" s="78"/>
      <c r="F26" s="78"/>
      <c r="G26" s="78"/>
      <c r="H26" s="78"/>
      <c r="I26" s="78"/>
      <c r="J26" s="78"/>
      <c r="K26" s="78"/>
      <c r="L26" s="78"/>
    </row>
    <row r="27" spans="1:12" ht="21.75" customHeight="1" x14ac:dyDescent="0.35">
      <c r="C27" s="81" t="s">
        <v>81</v>
      </c>
      <c r="D27" s="51" t="s">
        <v>72</v>
      </c>
      <c r="E27" s="37" t="s">
        <v>73</v>
      </c>
      <c r="F27" s="37" t="s">
        <v>37</v>
      </c>
      <c r="G27" s="37" t="s">
        <v>74</v>
      </c>
      <c r="H27" s="37" t="s">
        <v>39</v>
      </c>
      <c r="I27" s="51" t="s">
        <v>40</v>
      </c>
      <c r="J27" s="37" t="s">
        <v>38</v>
      </c>
      <c r="K27" s="51" t="s">
        <v>75</v>
      </c>
      <c r="L27" s="51" t="s">
        <v>76</v>
      </c>
    </row>
    <row r="28" spans="1:12" ht="21.75" customHeight="1" x14ac:dyDescent="0.35">
      <c r="C28" s="82"/>
      <c r="D28" s="22">
        <f>K3</f>
        <v>39.612612612612622</v>
      </c>
      <c r="E28" s="22">
        <f>K4</f>
        <v>-5.7095345345345336</v>
      </c>
      <c r="F28" s="22">
        <f>K5</f>
        <v>-19.526651651651648</v>
      </c>
      <c r="G28" s="22">
        <f>K6</f>
        <v>-8.6936936936936888</v>
      </c>
      <c r="H28" s="22">
        <f>K7</f>
        <v>-1.2659159159159117</v>
      </c>
      <c r="I28" s="22">
        <f>K8</f>
        <v>0.24166666666666359</v>
      </c>
      <c r="J28" s="22">
        <f>K9</f>
        <v>-23.693693693693689</v>
      </c>
      <c r="K28" s="22">
        <f>K10</f>
        <v>7.9138888888888879</v>
      </c>
      <c r="L28" s="22">
        <f>K11</f>
        <v>7.9138888888888879</v>
      </c>
    </row>
    <row r="29" spans="1:12" ht="21.75" customHeight="1" x14ac:dyDescent="0.35">
      <c r="C29" s="38" t="s">
        <v>72</v>
      </c>
      <c r="D29" s="22"/>
      <c r="E29" s="22">
        <f>$D$28*E40</f>
        <v>3.8564019741724511</v>
      </c>
      <c r="F29" s="22">
        <f t="shared" ref="F29:J29" si="7">$D$28*F40</f>
        <v>13.188924162369775</v>
      </c>
      <c r="G29" s="22">
        <f t="shared" si="7"/>
        <v>5.8719983775252089</v>
      </c>
      <c r="H29" s="22">
        <f t="shared" si="7"/>
        <v>0.85504004008488599</v>
      </c>
      <c r="I29" s="22"/>
      <c r="J29" s="22">
        <f t="shared" si="7"/>
        <v>16.003477443410677</v>
      </c>
      <c r="K29" s="22"/>
      <c r="L29" s="22"/>
    </row>
    <row r="30" spans="1:12" ht="21.75" customHeight="1" x14ac:dyDescent="0.35">
      <c r="C30" s="51" t="s">
        <v>73</v>
      </c>
      <c r="D30" s="22"/>
      <c r="E30" s="22"/>
      <c r="F30" s="22"/>
      <c r="G30" s="22"/>
      <c r="H30" s="22"/>
      <c r="I30" s="22"/>
      <c r="J30" s="22"/>
      <c r="K30" s="22"/>
      <c r="L30" s="22"/>
    </row>
    <row r="31" spans="1:12" ht="21.75" customHeight="1" x14ac:dyDescent="0.35">
      <c r="C31" s="51" t="s">
        <v>37</v>
      </c>
      <c r="D31" s="22"/>
      <c r="E31" s="22"/>
      <c r="F31" s="22"/>
      <c r="G31" s="22"/>
      <c r="H31" s="22"/>
      <c r="I31" s="22"/>
      <c r="J31" s="22"/>
      <c r="K31" s="22"/>
      <c r="L31" s="22"/>
    </row>
    <row r="32" spans="1:12" ht="21.75" customHeight="1" x14ac:dyDescent="0.35">
      <c r="C32" s="51" t="s">
        <v>74</v>
      </c>
      <c r="D32" s="22"/>
      <c r="E32" s="22"/>
      <c r="F32" s="22"/>
      <c r="G32" s="22"/>
      <c r="H32" s="22"/>
      <c r="I32" s="22"/>
      <c r="J32" s="22"/>
      <c r="K32" s="22"/>
      <c r="L32" s="22"/>
    </row>
    <row r="33" spans="3:13" ht="21.75" customHeight="1" x14ac:dyDescent="0.35">
      <c r="C33" s="51" t="s">
        <v>39</v>
      </c>
      <c r="D33" s="22"/>
      <c r="E33" s="22"/>
      <c r="F33" s="22"/>
      <c r="G33" s="22"/>
      <c r="H33" s="22"/>
      <c r="I33" s="22"/>
      <c r="J33" s="22"/>
      <c r="K33" s="22"/>
      <c r="L33" s="22"/>
    </row>
    <row r="34" spans="3:13" ht="21.75" customHeight="1" x14ac:dyDescent="0.35">
      <c r="C34" s="38" t="s">
        <v>40</v>
      </c>
      <c r="D34" s="22"/>
      <c r="E34" s="22"/>
      <c r="F34" s="22"/>
      <c r="G34" s="22"/>
      <c r="H34" s="22"/>
      <c r="I34" s="22"/>
      <c r="J34" s="22"/>
      <c r="K34" s="22"/>
      <c r="L34" s="22"/>
    </row>
    <row r="35" spans="3:13" ht="21.75" customHeight="1" x14ac:dyDescent="0.35">
      <c r="C35" s="51" t="s">
        <v>38</v>
      </c>
      <c r="D35" s="22"/>
      <c r="E35" s="22"/>
      <c r="F35" s="22"/>
      <c r="G35" s="22"/>
      <c r="H35" s="22"/>
      <c r="I35" s="22"/>
      <c r="J35" s="22"/>
      <c r="K35" s="22"/>
      <c r="L35" s="22"/>
    </row>
    <row r="36" spans="3:13" ht="21.75" customHeight="1" x14ac:dyDescent="0.35">
      <c r="C36" s="38" t="s">
        <v>77</v>
      </c>
      <c r="D36" s="22"/>
      <c r="E36" s="22">
        <f>$K$28*E40</f>
        <v>0.77043988572405508</v>
      </c>
      <c r="F36" s="22">
        <f t="shared" ref="F36:J36" si="8">$K$28*F40</f>
        <v>2.6349102849061565</v>
      </c>
      <c r="G36" s="22">
        <f t="shared" si="8"/>
        <v>1.1731198638656368</v>
      </c>
      <c r="H36" s="22">
        <f t="shared" si="8"/>
        <v>0.1708216506433706</v>
      </c>
      <c r="I36" s="22"/>
      <c r="J36" s="22">
        <f t="shared" si="8"/>
        <v>3.1972075046286279</v>
      </c>
      <c r="K36" s="22"/>
      <c r="L36" s="22"/>
    </row>
    <row r="37" spans="3:13" ht="21.75" customHeight="1" x14ac:dyDescent="0.35">
      <c r="C37" s="38" t="s">
        <v>78</v>
      </c>
      <c r="D37" s="22"/>
      <c r="E37" s="22">
        <f>$L$28*E40</f>
        <v>0.77043988572405508</v>
      </c>
      <c r="F37" s="22">
        <f t="shared" ref="F37:J37" si="9">$L$28*F40</f>
        <v>2.6349102849061565</v>
      </c>
      <c r="G37" s="22">
        <f t="shared" si="9"/>
        <v>1.1731198638656368</v>
      </c>
      <c r="H37" s="22">
        <f t="shared" si="9"/>
        <v>0.1708216506433706</v>
      </c>
      <c r="I37" s="22"/>
      <c r="J37" s="22">
        <f t="shared" si="9"/>
        <v>3.1972075046286279</v>
      </c>
      <c r="K37" s="22"/>
      <c r="L37" s="22"/>
    </row>
    <row r="38" spans="3:13" ht="13.5" customHeight="1" x14ac:dyDescent="0.35"/>
    <row r="39" spans="3:13" ht="13.5" customHeight="1" x14ac:dyDescent="0.35">
      <c r="E39" s="35">
        <f>E28*-1</f>
        <v>5.7095345345345336</v>
      </c>
      <c r="F39" s="35">
        <f t="shared" ref="F39:J39" si="10">F28*-1</f>
        <v>19.526651651651648</v>
      </c>
      <c r="G39" s="35">
        <f t="shared" si="10"/>
        <v>8.6936936936936888</v>
      </c>
      <c r="H39" s="35">
        <f>H28*-1</f>
        <v>1.2659159159159117</v>
      </c>
      <c r="I39" s="35">
        <f t="shared" si="10"/>
        <v>-0.24166666666666359</v>
      </c>
      <c r="J39" s="35">
        <f t="shared" si="10"/>
        <v>23.693693693693689</v>
      </c>
      <c r="K39" s="35">
        <f>SUM(E39:J39)</f>
        <v>58.647822822822803</v>
      </c>
    </row>
    <row r="40" spans="3:13" ht="13.5" customHeight="1" x14ac:dyDescent="0.35">
      <c r="E40" s="35">
        <f>E39/$K$39</f>
        <v>9.7352881312972928E-2</v>
      </c>
      <c r="F40" s="35">
        <f t="shared" ref="F40:J40" si="11">F39/$K$39</f>
        <v>0.33294759654833855</v>
      </c>
      <c r="G40" s="35">
        <f t="shared" si="11"/>
        <v>0.14823557423363612</v>
      </c>
      <c r="H40" s="35">
        <f t="shared" si="11"/>
        <v>2.158504536034167E-2</v>
      </c>
      <c r="I40" s="35">
        <f t="shared" si="11"/>
        <v>-4.1206417397069853E-3</v>
      </c>
      <c r="J40" s="35">
        <f t="shared" si="11"/>
        <v>0.40399954428441776</v>
      </c>
      <c r="K40" s="35"/>
    </row>
    <row r="41" spans="3:13" ht="13.5" customHeight="1" x14ac:dyDescent="0.35"/>
    <row r="42" spans="3:13" ht="21.75" customHeight="1" x14ac:dyDescent="0.35">
      <c r="D42" s="78" t="s">
        <v>80</v>
      </c>
      <c r="E42" s="78"/>
      <c r="F42" s="78"/>
      <c r="G42" s="78"/>
      <c r="H42" s="78"/>
      <c r="I42" s="78"/>
      <c r="J42" s="78"/>
      <c r="K42" s="78"/>
      <c r="L42" s="78"/>
    </row>
    <row r="43" spans="3:13" ht="21.75" customHeight="1" x14ac:dyDescent="0.35">
      <c r="C43" s="81" t="s">
        <v>81</v>
      </c>
      <c r="D43" s="51" t="s">
        <v>72</v>
      </c>
      <c r="E43" s="37" t="s">
        <v>73</v>
      </c>
      <c r="F43" s="37" t="s">
        <v>37</v>
      </c>
      <c r="G43" s="37" t="s">
        <v>74</v>
      </c>
      <c r="H43" s="37" t="s">
        <v>39</v>
      </c>
      <c r="I43" s="51" t="s">
        <v>40</v>
      </c>
      <c r="J43" s="37" t="s">
        <v>38</v>
      </c>
      <c r="K43" s="51" t="s">
        <v>75</v>
      </c>
      <c r="L43" s="51" t="s">
        <v>76</v>
      </c>
    </row>
    <row r="44" spans="3:13" ht="21.75" customHeight="1" x14ac:dyDescent="0.35">
      <c r="C44" s="82"/>
      <c r="D44" s="41">
        <v>40</v>
      </c>
      <c r="E44" s="53">
        <v>5</v>
      </c>
      <c r="F44" s="53">
        <v>19</v>
      </c>
      <c r="G44" s="53">
        <v>8</v>
      </c>
      <c r="H44" s="53">
        <v>1</v>
      </c>
      <c r="I44" s="41">
        <v>1</v>
      </c>
      <c r="J44" s="53">
        <v>24</v>
      </c>
      <c r="K44" s="41">
        <v>8</v>
      </c>
      <c r="L44" s="41">
        <v>8</v>
      </c>
    </row>
    <row r="45" spans="3:13" ht="21.75" customHeight="1" x14ac:dyDescent="0.35">
      <c r="C45" s="38" t="s">
        <v>72</v>
      </c>
      <c r="D45" s="22"/>
      <c r="E45" s="22">
        <v>4</v>
      </c>
      <c r="F45" s="22">
        <v>13</v>
      </c>
      <c r="G45" s="22">
        <v>6</v>
      </c>
      <c r="H45" s="22">
        <v>1</v>
      </c>
      <c r="I45" s="22"/>
      <c r="J45" s="22">
        <v>16</v>
      </c>
      <c r="K45" s="22"/>
      <c r="L45" s="22"/>
      <c r="M45" s="1">
        <f>SUM(D45:L45)</f>
        <v>40</v>
      </c>
    </row>
    <row r="46" spans="3:13" ht="21.75" customHeight="1" x14ac:dyDescent="0.35">
      <c r="C46" s="51" t="s">
        <v>73</v>
      </c>
      <c r="D46" s="22"/>
      <c r="E46" s="22"/>
      <c r="F46" s="22"/>
      <c r="G46" s="22"/>
      <c r="H46" s="22"/>
      <c r="I46" s="22"/>
      <c r="J46" s="22"/>
      <c r="K46" s="22"/>
      <c r="L46" s="22"/>
      <c r="M46" s="1"/>
    </row>
    <row r="47" spans="3:13" ht="21.75" customHeight="1" x14ac:dyDescent="0.35">
      <c r="C47" s="51" t="s">
        <v>37</v>
      </c>
      <c r="D47" s="22"/>
      <c r="E47" s="22"/>
      <c r="F47" s="22"/>
      <c r="G47" s="22"/>
      <c r="H47" s="22"/>
      <c r="I47" s="22"/>
      <c r="J47" s="22"/>
      <c r="K47" s="22"/>
      <c r="L47" s="22"/>
      <c r="M47" s="1"/>
    </row>
    <row r="48" spans="3:13" ht="21.75" customHeight="1" x14ac:dyDescent="0.35">
      <c r="C48" s="51" t="s">
        <v>74</v>
      </c>
      <c r="D48" s="22"/>
      <c r="E48" s="22"/>
      <c r="F48" s="22"/>
      <c r="G48" s="22"/>
      <c r="H48" s="22"/>
      <c r="I48" s="22"/>
      <c r="J48" s="22"/>
      <c r="K48" s="22"/>
      <c r="L48" s="22"/>
      <c r="M48" s="1"/>
    </row>
    <row r="49" spans="3:13" ht="21.75" customHeight="1" x14ac:dyDescent="0.35">
      <c r="C49" s="51" t="s">
        <v>39</v>
      </c>
      <c r="D49" s="22"/>
      <c r="E49" s="22"/>
      <c r="F49" s="22"/>
      <c r="G49" s="22"/>
      <c r="H49" s="22"/>
      <c r="I49" s="22"/>
      <c r="J49" s="22"/>
      <c r="K49" s="22"/>
      <c r="L49" s="22"/>
      <c r="M49" s="1"/>
    </row>
    <row r="50" spans="3:13" ht="21.75" customHeight="1" x14ac:dyDescent="0.35">
      <c r="C50" s="38" t="s">
        <v>40</v>
      </c>
      <c r="D50" s="22"/>
      <c r="E50" s="22">
        <v>1</v>
      </c>
      <c r="F50" s="22"/>
      <c r="G50" s="22"/>
      <c r="H50" s="22"/>
      <c r="I50" s="22"/>
      <c r="J50" s="22"/>
      <c r="K50" s="22"/>
      <c r="L50" s="22"/>
      <c r="M50" s="1">
        <f t="shared" ref="M50:M53" si="12">SUM(D50:L50)</f>
        <v>1</v>
      </c>
    </row>
    <row r="51" spans="3:13" ht="21.75" customHeight="1" x14ac:dyDescent="0.35">
      <c r="C51" s="51" t="s">
        <v>38</v>
      </c>
      <c r="D51" s="22"/>
      <c r="E51" s="22"/>
      <c r="F51" s="22"/>
      <c r="G51" s="22"/>
      <c r="H51" s="22"/>
      <c r="I51" s="22"/>
      <c r="J51" s="22"/>
      <c r="K51" s="22"/>
      <c r="L51" s="22"/>
      <c r="M51" s="1"/>
    </row>
    <row r="52" spans="3:13" ht="21.75" customHeight="1" x14ac:dyDescent="0.35">
      <c r="C52" s="38" t="s">
        <v>77</v>
      </c>
      <c r="D52" s="22"/>
      <c r="E52" s="22"/>
      <c r="F52" s="22">
        <v>3</v>
      </c>
      <c r="G52" s="22">
        <v>1</v>
      </c>
      <c r="H52" s="22"/>
      <c r="I52" s="22"/>
      <c r="J52" s="22">
        <v>4</v>
      </c>
      <c r="K52" s="22"/>
      <c r="L52" s="22"/>
      <c r="M52" s="1">
        <f t="shared" si="12"/>
        <v>8</v>
      </c>
    </row>
    <row r="53" spans="3:13" ht="21.75" customHeight="1" x14ac:dyDescent="0.35">
      <c r="C53" s="38" t="s">
        <v>78</v>
      </c>
      <c r="D53" s="22"/>
      <c r="E53" s="22"/>
      <c r="F53" s="22">
        <v>3</v>
      </c>
      <c r="G53" s="22">
        <v>1</v>
      </c>
      <c r="H53" s="22"/>
      <c r="I53" s="22"/>
      <c r="J53" s="22">
        <v>4</v>
      </c>
      <c r="K53" s="22"/>
      <c r="L53" s="22"/>
      <c r="M53" s="1">
        <f t="shared" si="12"/>
        <v>8</v>
      </c>
    </row>
    <row r="54" spans="3:13" ht="21.75" customHeight="1" x14ac:dyDescent="0.35">
      <c r="D54" s="1"/>
      <c r="E54" s="1">
        <f t="shared" ref="E54:J54" si="13">SUM(E45:E53)</f>
        <v>5</v>
      </c>
      <c r="F54" s="1">
        <f t="shared" si="13"/>
        <v>19</v>
      </c>
      <c r="G54" s="1">
        <f t="shared" si="13"/>
        <v>8</v>
      </c>
      <c r="H54" s="1">
        <f t="shared" si="13"/>
        <v>1</v>
      </c>
      <c r="I54" s="1"/>
      <c r="J54" s="1">
        <f t="shared" si="13"/>
        <v>24</v>
      </c>
      <c r="K54" s="1"/>
      <c r="L54" s="1"/>
    </row>
    <row r="55" spans="3:13" ht="13.5" customHeight="1" x14ac:dyDescent="0.35"/>
    <row r="56" spans="3:13" ht="13.5" customHeight="1" x14ac:dyDescent="0.35"/>
    <row r="57" spans="3:13" ht="13.5" customHeight="1" x14ac:dyDescent="0.35"/>
    <row r="58" spans="3:13" ht="13.5" customHeight="1" x14ac:dyDescent="0.35"/>
    <row r="59" spans="3:13" ht="13.5" customHeight="1" x14ac:dyDescent="0.35"/>
    <row r="60" spans="3:13" ht="13.5" customHeight="1" x14ac:dyDescent="0.35"/>
    <row r="61" spans="3:13" ht="13.5" customHeight="1" x14ac:dyDescent="0.35"/>
    <row r="62" spans="3:13" ht="13.5" customHeight="1" x14ac:dyDescent="0.35"/>
    <row r="63" spans="3:13" ht="13.5" customHeight="1" x14ac:dyDescent="0.35"/>
    <row r="64" spans="3:13" ht="13.5" customHeight="1" x14ac:dyDescent="0.35"/>
    <row r="65" ht="13.5" customHeight="1" x14ac:dyDescent="0.35"/>
    <row r="66" ht="13.5" customHeight="1" x14ac:dyDescent="0.35"/>
    <row r="67" ht="13.5" customHeight="1" x14ac:dyDescent="0.35"/>
    <row r="68" ht="13.5" customHeight="1" x14ac:dyDescent="0.35"/>
    <row r="69" ht="13.5" customHeight="1" x14ac:dyDescent="0.35"/>
    <row r="70" ht="13.5" customHeight="1" x14ac:dyDescent="0.35"/>
    <row r="71" ht="13.5" customHeight="1" x14ac:dyDescent="0.35"/>
    <row r="72" ht="13.5" customHeight="1" x14ac:dyDescent="0.35"/>
    <row r="73" ht="13.5" customHeight="1" x14ac:dyDescent="0.35"/>
    <row r="74" ht="13.5" customHeight="1" x14ac:dyDescent="0.35"/>
    <row r="75" ht="13.5" customHeight="1" x14ac:dyDescent="0.35"/>
    <row r="76" ht="13.5" customHeight="1" x14ac:dyDescent="0.35"/>
    <row r="77" ht="13.5" customHeight="1" x14ac:dyDescent="0.35"/>
    <row r="78" ht="13.5" customHeight="1" x14ac:dyDescent="0.35"/>
    <row r="79" ht="13.5" customHeight="1" x14ac:dyDescent="0.35"/>
    <row r="80" ht="13.5" customHeight="1" x14ac:dyDescent="0.35"/>
    <row r="81" ht="13.5" customHeight="1" x14ac:dyDescent="0.35"/>
    <row r="82" ht="13.5" customHeight="1" x14ac:dyDescent="0.35"/>
    <row r="83" ht="13.5" customHeight="1" x14ac:dyDescent="0.35"/>
    <row r="84" ht="13.5" customHeight="1" x14ac:dyDescent="0.35"/>
    <row r="85" ht="13.5" customHeight="1" x14ac:dyDescent="0.35"/>
    <row r="86" ht="13.5" customHeight="1" x14ac:dyDescent="0.35"/>
    <row r="87" ht="13.5" customHeight="1" x14ac:dyDescent="0.35"/>
    <row r="88" ht="13.5" customHeight="1" x14ac:dyDescent="0.35"/>
    <row r="89" ht="13.5" customHeight="1" x14ac:dyDescent="0.35"/>
    <row r="90" ht="13.5" customHeight="1" x14ac:dyDescent="0.35"/>
    <row r="91" ht="13.5" customHeight="1" x14ac:dyDescent="0.35"/>
    <row r="92" ht="13.5" customHeight="1" x14ac:dyDescent="0.35"/>
    <row r="93" ht="13.5" customHeight="1" x14ac:dyDescent="0.35"/>
    <row r="94" ht="13.5" customHeight="1" x14ac:dyDescent="0.35"/>
    <row r="95" ht="13.5" customHeight="1" x14ac:dyDescent="0.35"/>
    <row r="96" ht="13.5" customHeight="1" x14ac:dyDescent="0.35"/>
    <row r="97" ht="13.5" customHeight="1" x14ac:dyDescent="0.35"/>
    <row r="98" ht="13.5" customHeight="1" x14ac:dyDescent="0.35"/>
    <row r="99" ht="13.5" customHeight="1" x14ac:dyDescent="0.35"/>
    <row r="100" ht="13.5" customHeight="1" x14ac:dyDescent="0.35"/>
    <row r="101" ht="13.5" customHeight="1" x14ac:dyDescent="0.35"/>
    <row r="102" ht="13.5" customHeight="1" x14ac:dyDescent="0.35"/>
    <row r="103" ht="13.5" customHeight="1" x14ac:dyDescent="0.35"/>
    <row r="104" ht="13.5" customHeight="1" x14ac:dyDescent="0.35"/>
    <row r="105" ht="13.5" customHeight="1" x14ac:dyDescent="0.35"/>
    <row r="106" ht="13.5" customHeight="1" x14ac:dyDescent="0.35"/>
    <row r="107" ht="13.5" customHeight="1" x14ac:dyDescent="0.35"/>
    <row r="108" ht="13.5" customHeight="1" x14ac:dyDescent="0.35"/>
    <row r="109" ht="13.5" customHeight="1" x14ac:dyDescent="0.35"/>
    <row r="110" ht="13.5" customHeight="1" x14ac:dyDescent="0.35"/>
    <row r="111" ht="13.5" customHeight="1" x14ac:dyDescent="0.35"/>
    <row r="112" ht="13.5" customHeight="1" x14ac:dyDescent="0.35"/>
    <row r="113" ht="13.5" customHeight="1" x14ac:dyDescent="0.35"/>
    <row r="114" ht="13.5" customHeight="1" x14ac:dyDescent="0.35"/>
    <row r="115" ht="13.5" customHeight="1" x14ac:dyDescent="0.35"/>
    <row r="116" ht="13.5" customHeight="1" x14ac:dyDescent="0.35"/>
    <row r="117" ht="13.5" customHeight="1" x14ac:dyDescent="0.35"/>
    <row r="118" ht="13.5" customHeight="1" x14ac:dyDescent="0.35"/>
    <row r="119" ht="13.5" customHeight="1" x14ac:dyDescent="0.35"/>
    <row r="120" ht="13.5" customHeight="1" x14ac:dyDescent="0.35"/>
    <row r="121" ht="13.5" customHeight="1" x14ac:dyDescent="0.35"/>
    <row r="122" ht="13.5" customHeight="1" x14ac:dyDescent="0.35"/>
    <row r="123" ht="13.5" customHeight="1" x14ac:dyDescent="0.35"/>
    <row r="124" ht="13.5" customHeight="1" x14ac:dyDescent="0.35"/>
    <row r="125" ht="13.5" customHeight="1" x14ac:dyDescent="0.35"/>
    <row r="126" ht="13.5" customHeight="1" x14ac:dyDescent="0.35"/>
    <row r="127" ht="13.5" customHeight="1" x14ac:dyDescent="0.35"/>
    <row r="128" ht="13.5" customHeight="1" x14ac:dyDescent="0.35"/>
    <row r="129" ht="13.5" customHeight="1" x14ac:dyDescent="0.35"/>
    <row r="130" ht="13.5" customHeight="1" x14ac:dyDescent="0.35"/>
    <row r="131" ht="13.5" customHeight="1" x14ac:dyDescent="0.35"/>
    <row r="132" ht="13.5" customHeight="1" x14ac:dyDescent="0.35"/>
    <row r="133" ht="13.5" customHeight="1" x14ac:dyDescent="0.35"/>
    <row r="134" ht="13.5" customHeight="1" x14ac:dyDescent="0.35"/>
    <row r="135" ht="13.5" customHeight="1" x14ac:dyDescent="0.35"/>
    <row r="136" ht="13.5" customHeight="1" x14ac:dyDescent="0.35"/>
    <row r="137" ht="13.5" customHeight="1" x14ac:dyDescent="0.35"/>
    <row r="138" ht="13.5" customHeight="1" x14ac:dyDescent="0.35"/>
    <row r="139" ht="13.5" customHeight="1" x14ac:dyDescent="0.35"/>
    <row r="140" ht="13.5" customHeight="1" x14ac:dyDescent="0.35"/>
    <row r="141" ht="13.5" customHeight="1" x14ac:dyDescent="0.35"/>
    <row r="142" ht="13.5" customHeight="1" x14ac:dyDescent="0.35"/>
    <row r="143" ht="13.5" customHeight="1" x14ac:dyDescent="0.35"/>
    <row r="144" ht="13.5" customHeight="1" x14ac:dyDescent="0.35"/>
    <row r="145" ht="13.5" customHeight="1" x14ac:dyDescent="0.35"/>
    <row r="146" ht="13.5" customHeight="1" x14ac:dyDescent="0.35"/>
    <row r="147" ht="13.5" customHeight="1" x14ac:dyDescent="0.35"/>
    <row r="148" ht="13.5" customHeight="1" x14ac:dyDescent="0.35"/>
    <row r="149" ht="13.5" customHeight="1" x14ac:dyDescent="0.35"/>
    <row r="150" ht="13.5" customHeight="1" x14ac:dyDescent="0.35"/>
    <row r="151" ht="13.5" customHeight="1" x14ac:dyDescent="0.35"/>
    <row r="152" ht="13.5" customHeight="1" x14ac:dyDescent="0.35"/>
    <row r="153" ht="13.5" customHeight="1" x14ac:dyDescent="0.35"/>
    <row r="154" ht="13.5" customHeight="1" x14ac:dyDescent="0.35"/>
    <row r="155" ht="13.5" customHeight="1" x14ac:dyDescent="0.35"/>
    <row r="156" ht="13.5" customHeight="1" x14ac:dyDescent="0.35"/>
    <row r="157" ht="13.5" customHeight="1" x14ac:dyDescent="0.35"/>
    <row r="158" ht="13.5" customHeight="1" x14ac:dyDescent="0.35"/>
    <row r="159" ht="13.5" customHeight="1" x14ac:dyDescent="0.35"/>
    <row r="160" ht="13.5" customHeight="1" x14ac:dyDescent="0.35"/>
    <row r="161" ht="13.5" customHeight="1" x14ac:dyDescent="0.35"/>
    <row r="162" ht="13.5" customHeight="1" x14ac:dyDescent="0.35"/>
    <row r="163" ht="13.5" customHeight="1" x14ac:dyDescent="0.35"/>
    <row r="164" ht="13.5" customHeight="1" x14ac:dyDescent="0.35"/>
    <row r="165" ht="13.5" customHeight="1" x14ac:dyDescent="0.35"/>
    <row r="166" ht="13.5" customHeight="1" x14ac:dyDescent="0.35"/>
    <row r="167" ht="13.5" customHeight="1" x14ac:dyDescent="0.35"/>
    <row r="168" ht="13.5" customHeight="1" x14ac:dyDescent="0.35"/>
    <row r="169" ht="13.5" customHeight="1" x14ac:dyDescent="0.35"/>
    <row r="170" ht="13.5" customHeight="1" x14ac:dyDescent="0.35"/>
    <row r="171" ht="13.5" customHeight="1" x14ac:dyDescent="0.35"/>
    <row r="172" ht="13.5" customHeight="1" x14ac:dyDescent="0.35"/>
    <row r="173" ht="13.5" customHeight="1" x14ac:dyDescent="0.35"/>
    <row r="174" ht="13.5" customHeight="1" x14ac:dyDescent="0.35"/>
    <row r="175" ht="13.5" customHeight="1" x14ac:dyDescent="0.35"/>
    <row r="176" ht="13.5" customHeight="1" x14ac:dyDescent="0.35"/>
    <row r="177" ht="13.5" customHeight="1" x14ac:dyDescent="0.35"/>
    <row r="178" ht="13.5" customHeight="1" x14ac:dyDescent="0.35"/>
    <row r="179" ht="13.5" customHeight="1" x14ac:dyDescent="0.35"/>
    <row r="180" ht="13.5" customHeight="1" x14ac:dyDescent="0.35"/>
    <row r="181" ht="13.5" customHeight="1" x14ac:dyDescent="0.35"/>
    <row r="182" ht="13.5" customHeight="1" x14ac:dyDescent="0.35"/>
    <row r="183" ht="13.5" customHeight="1" x14ac:dyDescent="0.35"/>
    <row r="184" ht="13.5" customHeight="1" x14ac:dyDescent="0.35"/>
    <row r="185" ht="13.5" customHeight="1" x14ac:dyDescent="0.35"/>
    <row r="186" ht="13.5" customHeight="1" x14ac:dyDescent="0.35"/>
    <row r="187" ht="13.5" customHeight="1" x14ac:dyDescent="0.35"/>
    <row r="188" ht="13.5" customHeight="1" x14ac:dyDescent="0.35"/>
    <row r="189" ht="13.5" customHeight="1" x14ac:dyDescent="0.35"/>
    <row r="190" ht="13.5" customHeight="1" x14ac:dyDescent="0.35"/>
    <row r="191" ht="13.5" customHeight="1" x14ac:dyDescent="0.35"/>
    <row r="192" ht="13.5" customHeight="1" x14ac:dyDescent="0.35"/>
    <row r="193" ht="13.5" customHeight="1" x14ac:dyDescent="0.35"/>
    <row r="194" ht="13.5" customHeight="1" x14ac:dyDescent="0.35"/>
    <row r="195" ht="13.5" customHeight="1" x14ac:dyDescent="0.35"/>
    <row r="196" ht="13.5" customHeight="1" x14ac:dyDescent="0.35"/>
    <row r="197" ht="13.5" customHeight="1" x14ac:dyDescent="0.35"/>
    <row r="198" ht="13.5" customHeight="1" x14ac:dyDescent="0.35"/>
    <row r="199" ht="13.5" customHeight="1" x14ac:dyDescent="0.35"/>
    <row r="200" ht="13.5" customHeight="1" x14ac:dyDescent="0.35"/>
    <row r="201" ht="13.5" customHeight="1" x14ac:dyDescent="0.35"/>
    <row r="202" ht="13.5" customHeight="1" x14ac:dyDescent="0.35"/>
    <row r="203" ht="13.5" customHeight="1" x14ac:dyDescent="0.35"/>
    <row r="204" ht="13.5" customHeight="1" x14ac:dyDescent="0.35"/>
    <row r="205" ht="13.5" customHeight="1" x14ac:dyDescent="0.35"/>
    <row r="206" ht="13.5" customHeight="1" x14ac:dyDescent="0.35"/>
    <row r="207" ht="13.5" customHeight="1" x14ac:dyDescent="0.35"/>
    <row r="208" ht="13.5" customHeight="1" x14ac:dyDescent="0.35"/>
    <row r="209" ht="13.5" customHeight="1" x14ac:dyDescent="0.35"/>
    <row r="210" ht="13.5" customHeight="1" x14ac:dyDescent="0.35"/>
    <row r="211" ht="13.5" customHeight="1" x14ac:dyDescent="0.35"/>
    <row r="212" ht="13.5" customHeight="1" x14ac:dyDescent="0.35"/>
    <row r="213" ht="13.5" customHeight="1" x14ac:dyDescent="0.35"/>
    <row r="214" ht="13.5" customHeight="1" x14ac:dyDescent="0.35"/>
    <row r="215" ht="13.5" customHeight="1" x14ac:dyDescent="0.35"/>
    <row r="216" ht="13.5" customHeight="1" x14ac:dyDescent="0.35"/>
    <row r="217" ht="13.5" customHeight="1" x14ac:dyDescent="0.35"/>
    <row r="218" ht="13.5" customHeight="1" x14ac:dyDescent="0.35"/>
    <row r="219" ht="13.5" customHeight="1" x14ac:dyDescent="0.35"/>
    <row r="220" ht="13.5" customHeight="1" x14ac:dyDescent="0.35"/>
    <row r="221" ht="13.5" customHeight="1" x14ac:dyDescent="0.35"/>
    <row r="222" ht="13.5" customHeight="1" x14ac:dyDescent="0.35"/>
    <row r="223" ht="13.5" customHeight="1" x14ac:dyDescent="0.35"/>
    <row r="224" ht="13.5" customHeight="1" x14ac:dyDescent="0.35"/>
    <row r="225" ht="13.5" customHeight="1" x14ac:dyDescent="0.35"/>
    <row r="226" ht="13.5" customHeight="1" x14ac:dyDescent="0.35"/>
    <row r="227" ht="13.5" customHeight="1" x14ac:dyDescent="0.35"/>
    <row r="228" ht="13.5" customHeight="1" x14ac:dyDescent="0.35"/>
    <row r="229" ht="13.5" customHeight="1" x14ac:dyDescent="0.35"/>
    <row r="230" ht="13.5" customHeight="1" x14ac:dyDescent="0.35"/>
    <row r="231" ht="13.5" customHeight="1" x14ac:dyDescent="0.35"/>
    <row r="232" ht="13.5" customHeight="1" x14ac:dyDescent="0.35"/>
    <row r="233" ht="13.5" customHeight="1" x14ac:dyDescent="0.35"/>
    <row r="234" ht="13.5" customHeight="1" x14ac:dyDescent="0.35"/>
    <row r="235" ht="13.5" customHeight="1" x14ac:dyDescent="0.35"/>
    <row r="236" ht="13.5" customHeight="1" x14ac:dyDescent="0.35"/>
    <row r="237" ht="13.5" customHeight="1" x14ac:dyDescent="0.35"/>
    <row r="238" ht="13.5" customHeight="1" x14ac:dyDescent="0.35"/>
    <row r="239" ht="13.5" customHeight="1" x14ac:dyDescent="0.35"/>
    <row r="240" ht="13.5" customHeight="1" x14ac:dyDescent="0.35"/>
    <row r="241" ht="13.5" customHeight="1" x14ac:dyDescent="0.35"/>
    <row r="242" ht="13.5" customHeight="1" x14ac:dyDescent="0.35"/>
    <row r="243" ht="13.5" customHeight="1" x14ac:dyDescent="0.35"/>
    <row r="244" ht="13.5" customHeight="1" x14ac:dyDescent="0.35"/>
    <row r="245" ht="13.5" customHeight="1" x14ac:dyDescent="0.35"/>
    <row r="246" ht="13.5" customHeight="1" x14ac:dyDescent="0.35"/>
    <row r="247" ht="13.5" customHeight="1" x14ac:dyDescent="0.35"/>
    <row r="248" ht="13.5" customHeight="1" x14ac:dyDescent="0.35"/>
    <row r="249" ht="13.5" customHeight="1" x14ac:dyDescent="0.35"/>
    <row r="250" ht="13.5" customHeight="1" x14ac:dyDescent="0.35"/>
    <row r="251" ht="13.5" customHeight="1" x14ac:dyDescent="0.35"/>
    <row r="252" ht="13.5" customHeight="1" x14ac:dyDescent="0.35"/>
    <row r="253" ht="13.5" customHeight="1" x14ac:dyDescent="0.35"/>
    <row r="254" ht="13.5" customHeight="1" x14ac:dyDescent="0.35"/>
    <row r="255" ht="13.5" customHeight="1" x14ac:dyDescent="0.35"/>
    <row r="256" ht="13.5" customHeight="1" x14ac:dyDescent="0.35"/>
    <row r="257" ht="13.5" customHeight="1" x14ac:dyDescent="0.35"/>
    <row r="258" ht="13.5" customHeight="1" x14ac:dyDescent="0.35"/>
    <row r="259" ht="13.5" customHeight="1" x14ac:dyDescent="0.35"/>
    <row r="260" ht="13.5" customHeight="1" x14ac:dyDescent="0.35"/>
    <row r="261" ht="13.5" customHeight="1" x14ac:dyDescent="0.35"/>
    <row r="262" ht="13.5" customHeight="1" x14ac:dyDescent="0.35"/>
    <row r="263" ht="13.5" customHeight="1" x14ac:dyDescent="0.35"/>
    <row r="264" ht="13.5" customHeight="1" x14ac:dyDescent="0.35"/>
    <row r="265" ht="13.5" customHeight="1" x14ac:dyDescent="0.35"/>
    <row r="266" ht="13.5" customHeight="1" x14ac:dyDescent="0.35"/>
    <row r="267" ht="13.5" customHeight="1" x14ac:dyDescent="0.35"/>
    <row r="268" ht="13.5" customHeight="1" x14ac:dyDescent="0.35"/>
    <row r="269" ht="13.5" customHeight="1" x14ac:dyDescent="0.35"/>
    <row r="270" ht="13.5" customHeight="1" x14ac:dyDescent="0.35"/>
    <row r="271" ht="13.5" customHeight="1" x14ac:dyDescent="0.35"/>
    <row r="272" ht="13.5" customHeight="1" x14ac:dyDescent="0.35"/>
    <row r="273" ht="13.5" customHeight="1" x14ac:dyDescent="0.35"/>
    <row r="274" ht="13.5" customHeight="1" x14ac:dyDescent="0.35"/>
    <row r="275" ht="13.5" customHeight="1" x14ac:dyDescent="0.35"/>
    <row r="276" ht="13.5" customHeight="1" x14ac:dyDescent="0.35"/>
    <row r="277" ht="13.5" customHeight="1" x14ac:dyDescent="0.35"/>
    <row r="278" ht="13.5" customHeight="1" x14ac:dyDescent="0.35"/>
    <row r="279" ht="13.5" customHeight="1" x14ac:dyDescent="0.35"/>
    <row r="280" ht="13.5" customHeight="1" x14ac:dyDescent="0.35"/>
    <row r="281" ht="13.5" customHeight="1" x14ac:dyDescent="0.35"/>
    <row r="282" ht="13.5" customHeight="1" x14ac:dyDescent="0.35"/>
    <row r="283" ht="13.5" customHeight="1" x14ac:dyDescent="0.35"/>
    <row r="284" ht="13.5" customHeight="1" x14ac:dyDescent="0.35"/>
    <row r="285" ht="13.5" customHeight="1" x14ac:dyDescent="0.35"/>
    <row r="286" ht="13.5" customHeight="1" x14ac:dyDescent="0.35"/>
    <row r="287" ht="13.5" customHeight="1" x14ac:dyDescent="0.35"/>
    <row r="288" ht="13.5" customHeight="1" x14ac:dyDescent="0.35"/>
    <row r="289" ht="13.5" customHeight="1" x14ac:dyDescent="0.35"/>
    <row r="290" ht="13.5" customHeight="1" x14ac:dyDescent="0.35"/>
    <row r="291" ht="13.5" customHeight="1" x14ac:dyDescent="0.35"/>
    <row r="292" ht="13.5" customHeight="1" x14ac:dyDescent="0.35"/>
    <row r="293" ht="13.5" customHeight="1" x14ac:dyDescent="0.35"/>
    <row r="294" ht="13.5" customHeight="1" x14ac:dyDescent="0.35"/>
    <row r="295" ht="13.5" customHeight="1" x14ac:dyDescent="0.35"/>
    <row r="296" ht="13.5" customHeight="1" x14ac:dyDescent="0.35"/>
    <row r="297" ht="13.5" customHeight="1" x14ac:dyDescent="0.35"/>
    <row r="298" ht="13.5" customHeight="1" x14ac:dyDescent="0.35"/>
    <row r="299" ht="13.5" customHeight="1" x14ac:dyDescent="0.35"/>
    <row r="300" ht="13.5" customHeight="1" x14ac:dyDescent="0.35"/>
    <row r="301" ht="13.5" customHeight="1" x14ac:dyDescent="0.35"/>
    <row r="302" ht="13.5" customHeight="1" x14ac:dyDescent="0.35"/>
    <row r="303" ht="13.5" customHeight="1" x14ac:dyDescent="0.35"/>
    <row r="304" ht="13.5" customHeight="1" x14ac:dyDescent="0.35"/>
    <row r="305" ht="13.5" customHeight="1" x14ac:dyDescent="0.35"/>
    <row r="306" ht="13.5" customHeight="1" x14ac:dyDescent="0.35"/>
    <row r="307" ht="13.5" customHeight="1" x14ac:dyDescent="0.35"/>
    <row r="308" ht="13.5" customHeight="1" x14ac:dyDescent="0.35"/>
    <row r="309" ht="13.5" customHeight="1" x14ac:dyDescent="0.35"/>
    <row r="310" ht="13.5" customHeight="1" x14ac:dyDescent="0.35"/>
    <row r="311" ht="13.5" customHeight="1" x14ac:dyDescent="0.35"/>
    <row r="312" ht="13.5" customHeight="1" x14ac:dyDescent="0.35"/>
    <row r="313" ht="13.5" customHeight="1" x14ac:dyDescent="0.35"/>
    <row r="314" ht="13.5" customHeight="1" x14ac:dyDescent="0.35"/>
    <row r="315" ht="13.5" customHeight="1" x14ac:dyDescent="0.35"/>
    <row r="316" ht="13.5" customHeight="1" x14ac:dyDescent="0.35"/>
    <row r="317" ht="13.5" customHeight="1" x14ac:dyDescent="0.35"/>
    <row r="318" ht="13.5" customHeight="1" x14ac:dyDescent="0.35"/>
    <row r="319" ht="13.5" customHeight="1" x14ac:dyDescent="0.35"/>
    <row r="320" ht="13.5" customHeight="1" x14ac:dyDescent="0.35"/>
    <row r="321" ht="13.5" customHeight="1" x14ac:dyDescent="0.35"/>
    <row r="322" ht="13.5" customHeight="1" x14ac:dyDescent="0.35"/>
    <row r="323" ht="13.5" customHeight="1" x14ac:dyDescent="0.35"/>
    <row r="324" ht="13.5" customHeight="1" x14ac:dyDescent="0.35"/>
    <row r="325" ht="13.5" customHeight="1" x14ac:dyDescent="0.35"/>
    <row r="326" ht="13.5" customHeight="1" x14ac:dyDescent="0.35"/>
    <row r="327" ht="13.5" customHeight="1" x14ac:dyDescent="0.35"/>
    <row r="328" ht="13.5" customHeight="1" x14ac:dyDescent="0.35"/>
    <row r="329" ht="13.5" customHeight="1" x14ac:dyDescent="0.35"/>
    <row r="330" ht="13.5" customHeight="1" x14ac:dyDescent="0.35"/>
    <row r="331" ht="13.5" customHeight="1" x14ac:dyDescent="0.35"/>
    <row r="332" ht="13.5" customHeight="1" x14ac:dyDescent="0.35"/>
    <row r="333" ht="13.5" customHeight="1" x14ac:dyDescent="0.35"/>
    <row r="334" ht="13.5" customHeight="1" x14ac:dyDescent="0.35"/>
    <row r="335" ht="13.5" customHeight="1" x14ac:dyDescent="0.35"/>
    <row r="336" ht="13.5" customHeight="1" x14ac:dyDescent="0.35"/>
    <row r="337" ht="13.5" customHeight="1" x14ac:dyDescent="0.35"/>
    <row r="338" ht="13.5" customHeight="1" x14ac:dyDescent="0.35"/>
    <row r="339" ht="13.5" customHeight="1" x14ac:dyDescent="0.35"/>
    <row r="340" ht="13.5" customHeight="1" x14ac:dyDescent="0.35"/>
    <row r="341" ht="13.5" customHeight="1" x14ac:dyDescent="0.35"/>
    <row r="342" ht="13.5" customHeight="1" x14ac:dyDescent="0.35"/>
    <row r="343" ht="13.5" customHeight="1" x14ac:dyDescent="0.35"/>
    <row r="344" ht="13.5" customHeight="1" x14ac:dyDescent="0.35"/>
    <row r="345" ht="13.5" customHeight="1" x14ac:dyDescent="0.35"/>
    <row r="346" ht="13.5" customHeight="1" x14ac:dyDescent="0.35"/>
    <row r="347" ht="13.5" customHeight="1" x14ac:dyDescent="0.35"/>
    <row r="348" ht="13.5" customHeight="1" x14ac:dyDescent="0.35"/>
    <row r="349" ht="13.5" customHeight="1" x14ac:dyDescent="0.35"/>
    <row r="350" ht="13.5" customHeight="1" x14ac:dyDescent="0.35"/>
    <row r="351" ht="13.5" customHeight="1" x14ac:dyDescent="0.35"/>
    <row r="352" ht="13.5" customHeight="1" x14ac:dyDescent="0.35"/>
    <row r="353" ht="13.5" customHeight="1" x14ac:dyDescent="0.35"/>
    <row r="354" ht="13.5" customHeight="1" x14ac:dyDescent="0.35"/>
    <row r="355" ht="13.5" customHeight="1" x14ac:dyDescent="0.35"/>
    <row r="356" ht="13.5" customHeight="1" x14ac:dyDescent="0.35"/>
    <row r="357" ht="13.5" customHeight="1" x14ac:dyDescent="0.35"/>
    <row r="358" ht="13.5" customHeight="1" x14ac:dyDescent="0.35"/>
    <row r="359" ht="13.5" customHeight="1" x14ac:dyDescent="0.35"/>
    <row r="360" ht="13.5" customHeight="1" x14ac:dyDescent="0.35"/>
    <row r="361" ht="13.5" customHeight="1" x14ac:dyDescent="0.35"/>
    <row r="362" ht="13.5" customHeight="1" x14ac:dyDescent="0.35"/>
    <row r="363" ht="13.5" customHeight="1" x14ac:dyDescent="0.35"/>
    <row r="364" ht="13.5" customHeight="1" x14ac:dyDescent="0.35"/>
    <row r="365" ht="13.5" customHeight="1" x14ac:dyDescent="0.35"/>
    <row r="366" ht="13.5" customHeight="1" x14ac:dyDescent="0.35"/>
    <row r="367" ht="13.5" customHeight="1" x14ac:dyDescent="0.35"/>
    <row r="368" ht="13.5" customHeight="1" x14ac:dyDescent="0.35"/>
    <row r="369" ht="13.5" customHeight="1" x14ac:dyDescent="0.35"/>
    <row r="370" ht="13.5" customHeight="1" x14ac:dyDescent="0.35"/>
    <row r="371" ht="13.5" customHeight="1" x14ac:dyDescent="0.35"/>
    <row r="372" ht="13.5" customHeight="1" x14ac:dyDescent="0.35"/>
    <row r="373" ht="13.5" customHeight="1" x14ac:dyDescent="0.35"/>
    <row r="374" ht="13.5" customHeight="1" x14ac:dyDescent="0.35"/>
    <row r="375" ht="13.5" customHeight="1" x14ac:dyDescent="0.35"/>
    <row r="376" ht="13.5" customHeight="1" x14ac:dyDescent="0.35"/>
    <row r="377" ht="13.5" customHeight="1" x14ac:dyDescent="0.35"/>
    <row r="378" ht="13.5" customHeight="1" x14ac:dyDescent="0.35"/>
    <row r="379" ht="13.5" customHeight="1" x14ac:dyDescent="0.35"/>
    <row r="380" ht="13.5" customHeight="1" x14ac:dyDescent="0.35"/>
    <row r="381" ht="13.5" customHeight="1" x14ac:dyDescent="0.35"/>
    <row r="382" ht="13.5" customHeight="1" x14ac:dyDescent="0.35"/>
    <row r="383" ht="13.5" customHeight="1" x14ac:dyDescent="0.35"/>
    <row r="384" ht="13.5" customHeight="1" x14ac:dyDescent="0.35"/>
    <row r="385" ht="13.5" customHeight="1" x14ac:dyDescent="0.35"/>
    <row r="386" ht="13.5" customHeight="1" x14ac:dyDescent="0.35"/>
    <row r="387" ht="13.5" customHeight="1" x14ac:dyDescent="0.35"/>
    <row r="388" ht="13.5" customHeight="1" x14ac:dyDescent="0.35"/>
    <row r="389" ht="13.5" customHeight="1" x14ac:dyDescent="0.35"/>
    <row r="390" ht="13.5" customHeight="1" x14ac:dyDescent="0.35"/>
    <row r="391" ht="13.5" customHeight="1" x14ac:dyDescent="0.35"/>
    <row r="392" ht="13.5" customHeight="1" x14ac:dyDescent="0.35"/>
    <row r="393" ht="13.5" customHeight="1" x14ac:dyDescent="0.35"/>
    <row r="394" ht="13.5" customHeight="1" x14ac:dyDescent="0.35"/>
    <row r="395" ht="13.5" customHeight="1" x14ac:dyDescent="0.35"/>
    <row r="396" ht="13.5" customHeight="1" x14ac:dyDescent="0.35"/>
    <row r="397" ht="13.5" customHeight="1" x14ac:dyDescent="0.35"/>
    <row r="398" ht="13.5" customHeight="1" x14ac:dyDescent="0.35"/>
    <row r="399" ht="13.5" customHeight="1" x14ac:dyDescent="0.35"/>
    <row r="400" ht="13.5" customHeight="1" x14ac:dyDescent="0.35"/>
    <row r="401" ht="13.5" customHeight="1" x14ac:dyDescent="0.35"/>
    <row r="402" ht="13.5" customHeight="1" x14ac:dyDescent="0.35"/>
    <row r="403" ht="13.5" customHeight="1" x14ac:dyDescent="0.35"/>
    <row r="404" ht="13.5" customHeight="1" x14ac:dyDescent="0.35"/>
    <row r="405" ht="13.5" customHeight="1" x14ac:dyDescent="0.35"/>
    <row r="406" ht="13.5" customHeight="1" x14ac:dyDescent="0.35"/>
    <row r="407" ht="13.5" customHeight="1" x14ac:dyDescent="0.35"/>
    <row r="408" ht="13.5" customHeight="1" x14ac:dyDescent="0.35"/>
    <row r="409" ht="13.5" customHeight="1" x14ac:dyDescent="0.35"/>
    <row r="410" ht="13.5" customHeight="1" x14ac:dyDescent="0.35"/>
    <row r="411" ht="13.5" customHeight="1" x14ac:dyDescent="0.35"/>
    <row r="412" ht="13.5" customHeight="1" x14ac:dyDescent="0.35"/>
    <row r="413" ht="13.5" customHeight="1" x14ac:dyDescent="0.35"/>
    <row r="414" ht="13.5" customHeight="1" x14ac:dyDescent="0.35"/>
    <row r="415" ht="13.5" customHeight="1" x14ac:dyDescent="0.35"/>
    <row r="416" ht="13.5" customHeight="1" x14ac:dyDescent="0.35"/>
    <row r="417" ht="13.5" customHeight="1" x14ac:dyDescent="0.35"/>
    <row r="418" ht="13.5" customHeight="1" x14ac:dyDescent="0.35"/>
    <row r="419" ht="13.5" customHeight="1" x14ac:dyDescent="0.35"/>
    <row r="420" ht="13.5" customHeight="1" x14ac:dyDescent="0.35"/>
    <row r="421" ht="13.5" customHeight="1" x14ac:dyDescent="0.35"/>
    <row r="422" ht="13.5" customHeight="1" x14ac:dyDescent="0.35"/>
    <row r="423" ht="13.5" customHeight="1" x14ac:dyDescent="0.35"/>
    <row r="424" ht="13.5" customHeight="1" x14ac:dyDescent="0.35"/>
    <row r="425" ht="13.5" customHeight="1" x14ac:dyDescent="0.35"/>
    <row r="426" ht="13.5" customHeight="1" x14ac:dyDescent="0.35"/>
    <row r="427" ht="13.5" customHeight="1" x14ac:dyDescent="0.35"/>
    <row r="428" ht="13.5" customHeight="1" x14ac:dyDescent="0.35"/>
    <row r="429" ht="13.5" customHeight="1" x14ac:dyDescent="0.35"/>
    <row r="430" ht="13.5" customHeight="1" x14ac:dyDescent="0.35"/>
    <row r="431" ht="13.5" customHeight="1" x14ac:dyDescent="0.35"/>
    <row r="432" ht="13.5" customHeight="1" x14ac:dyDescent="0.35"/>
    <row r="433" ht="13.5" customHeight="1" x14ac:dyDescent="0.35"/>
    <row r="434" ht="13.5" customHeight="1" x14ac:dyDescent="0.35"/>
    <row r="435" ht="13.5" customHeight="1" x14ac:dyDescent="0.35"/>
    <row r="436" ht="13.5" customHeight="1" x14ac:dyDescent="0.35"/>
    <row r="437" ht="13.5" customHeight="1" x14ac:dyDescent="0.35"/>
    <row r="438" ht="13.5" customHeight="1" x14ac:dyDescent="0.35"/>
    <row r="439" ht="13.5" customHeight="1" x14ac:dyDescent="0.35"/>
    <row r="440" ht="13.5" customHeight="1" x14ac:dyDescent="0.35"/>
    <row r="441" ht="13.5" customHeight="1" x14ac:dyDescent="0.35"/>
    <row r="442" ht="13.5" customHeight="1" x14ac:dyDescent="0.35"/>
    <row r="443" ht="13.5" customHeight="1" x14ac:dyDescent="0.35"/>
    <row r="444" ht="13.5" customHeight="1" x14ac:dyDescent="0.35"/>
    <row r="445" ht="13.5" customHeight="1" x14ac:dyDescent="0.35"/>
    <row r="446" ht="13.5" customHeight="1" x14ac:dyDescent="0.35"/>
    <row r="447" ht="13.5" customHeight="1" x14ac:dyDescent="0.35"/>
    <row r="448" ht="13.5" customHeight="1" x14ac:dyDescent="0.35"/>
    <row r="449" ht="13.5" customHeight="1" x14ac:dyDescent="0.35"/>
    <row r="450" ht="13.5" customHeight="1" x14ac:dyDescent="0.35"/>
    <row r="451" ht="13.5" customHeight="1" x14ac:dyDescent="0.35"/>
    <row r="452" ht="13.5" customHeight="1" x14ac:dyDescent="0.35"/>
    <row r="453" ht="13.5" customHeight="1" x14ac:dyDescent="0.35"/>
    <row r="454" ht="13.5" customHeight="1" x14ac:dyDescent="0.35"/>
    <row r="455" ht="13.5" customHeight="1" x14ac:dyDescent="0.35"/>
    <row r="456" ht="13.5" customHeight="1" x14ac:dyDescent="0.35"/>
    <row r="457" ht="13.5" customHeight="1" x14ac:dyDescent="0.35"/>
    <row r="458" ht="13.5" customHeight="1" x14ac:dyDescent="0.35"/>
    <row r="459" ht="13.5" customHeight="1" x14ac:dyDescent="0.35"/>
    <row r="460" ht="13.5" customHeight="1" x14ac:dyDescent="0.35"/>
    <row r="461" ht="13.5" customHeight="1" x14ac:dyDescent="0.35"/>
    <row r="462" ht="13.5" customHeight="1" x14ac:dyDescent="0.35"/>
    <row r="463" ht="13.5" customHeight="1" x14ac:dyDescent="0.35"/>
    <row r="464" ht="13.5" customHeight="1" x14ac:dyDescent="0.35"/>
    <row r="465" ht="13.5" customHeight="1" x14ac:dyDescent="0.35"/>
    <row r="466" ht="13.5" customHeight="1" x14ac:dyDescent="0.35"/>
    <row r="467" ht="13.5" customHeight="1" x14ac:dyDescent="0.35"/>
    <row r="468" ht="13.5" customHeight="1" x14ac:dyDescent="0.35"/>
    <row r="469" ht="13.5" customHeight="1" x14ac:dyDescent="0.35"/>
    <row r="470" ht="13.5" customHeight="1" x14ac:dyDescent="0.35"/>
    <row r="471" ht="13.5" customHeight="1" x14ac:dyDescent="0.35"/>
    <row r="472" ht="13.5" customHeight="1" x14ac:dyDescent="0.35"/>
    <row r="473" ht="13.5" customHeight="1" x14ac:dyDescent="0.35"/>
    <row r="474" ht="13.5" customHeight="1" x14ac:dyDescent="0.35"/>
    <row r="475" ht="13.5" customHeight="1" x14ac:dyDescent="0.35"/>
    <row r="476" ht="13.5" customHeight="1" x14ac:dyDescent="0.35"/>
    <row r="477" ht="13.5" customHeight="1" x14ac:dyDescent="0.35"/>
    <row r="478" ht="13.5" customHeight="1" x14ac:dyDescent="0.35"/>
    <row r="479" ht="13.5" customHeight="1" x14ac:dyDescent="0.35"/>
    <row r="480" ht="13.5" customHeight="1" x14ac:dyDescent="0.35"/>
    <row r="481" ht="13.5" customHeight="1" x14ac:dyDescent="0.35"/>
    <row r="482" ht="13.5" customHeight="1" x14ac:dyDescent="0.35"/>
    <row r="483" ht="13.5" customHeight="1" x14ac:dyDescent="0.35"/>
    <row r="484" ht="13.5" customHeight="1" x14ac:dyDescent="0.35"/>
    <row r="485" ht="13.5" customHeight="1" x14ac:dyDescent="0.35"/>
    <row r="486" ht="13.5" customHeight="1" x14ac:dyDescent="0.35"/>
    <row r="487" ht="13.5" customHeight="1" x14ac:dyDescent="0.35"/>
    <row r="488" ht="13.5" customHeight="1" x14ac:dyDescent="0.35"/>
    <row r="489" ht="13.5" customHeight="1" x14ac:dyDescent="0.35"/>
    <row r="490" ht="13.5" customHeight="1" x14ac:dyDescent="0.35"/>
    <row r="491" ht="13.5" customHeight="1" x14ac:dyDescent="0.35"/>
    <row r="492" ht="13.5" customHeight="1" x14ac:dyDescent="0.35"/>
    <row r="493" ht="13.5" customHeight="1" x14ac:dyDescent="0.35"/>
    <row r="494" ht="13.5" customHeight="1" x14ac:dyDescent="0.35"/>
    <row r="495" ht="13.5" customHeight="1" x14ac:dyDescent="0.35"/>
    <row r="496" ht="13.5" customHeight="1" x14ac:dyDescent="0.35"/>
    <row r="497" ht="13.5" customHeight="1" x14ac:dyDescent="0.35"/>
    <row r="498" ht="13.5" customHeight="1" x14ac:dyDescent="0.35"/>
    <row r="499" ht="13.5" customHeight="1" x14ac:dyDescent="0.35"/>
    <row r="500" ht="13.5" customHeight="1" x14ac:dyDescent="0.35"/>
    <row r="501" ht="13.5" customHeight="1" x14ac:dyDescent="0.35"/>
    <row r="502" ht="13.5" customHeight="1" x14ac:dyDescent="0.35"/>
    <row r="503" ht="13.5" customHeight="1" x14ac:dyDescent="0.35"/>
    <row r="504" ht="13.5" customHeight="1" x14ac:dyDescent="0.35"/>
    <row r="505" ht="13.5" customHeight="1" x14ac:dyDescent="0.35"/>
    <row r="506" ht="13.5" customHeight="1" x14ac:dyDescent="0.35"/>
    <row r="507" ht="13.5" customHeight="1" x14ac:dyDescent="0.35"/>
    <row r="508" ht="13.5" customHeight="1" x14ac:dyDescent="0.35"/>
    <row r="509" ht="13.5" customHeight="1" x14ac:dyDescent="0.35"/>
    <row r="510" ht="13.5" customHeight="1" x14ac:dyDescent="0.35"/>
    <row r="511" ht="13.5" customHeight="1" x14ac:dyDescent="0.35"/>
    <row r="512" ht="13.5" customHeight="1" x14ac:dyDescent="0.35"/>
    <row r="513" ht="13.5" customHeight="1" x14ac:dyDescent="0.35"/>
    <row r="514" ht="13.5" customHeight="1" x14ac:dyDescent="0.35"/>
    <row r="515" ht="13.5" customHeight="1" x14ac:dyDescent="0.35"/>
    <row r="516" ht="13.5" customHeight="1" x14ac:dyDescent="0.35"/>
    <row r="517" ht="13.5" customHeight="1" x14ac:dyDescent="0.35"/>
    <row r="518" ht="13.5" customHeight="1" x14ac:dyDescent="0.35"/>
    <row r="519" ht="13.5" customHeight="1" x14ac:dyDescent="0.35"/>
    <row r="520" ht="13.5" customHeight="1" x14ac:dyDescent="0.35"/>
    <row r="521" ht="13.5" customHeight="1" x14ac:dyDescent="0.35"/>
    <row r="522" ht="13.5" customHeight="1" x14ac:dyDescent="0.35"/>
    <row r="523" ht="13.5" customHeight="1" x14ac:dyDescent="0.35"/>
    <row r="524" ht="13.5" customHeight="1" x14ac:dyDescent="0.35"/>
    <row r="525" ht="13.5" customHeight="1" x14ac:dyDescent="0.35"/>
    <row r="526" ht="13.5" customHeight="1" x14ac:dyDescent="0.35"/>
    <row r="527" ht="13.5" customHeight="1" x14ac:dyDescent="0.35"/>
    <row r="528" ht="13.5" customHeight="1" x14ac:dyDescent="0.35"/>
    <row r="529" ht="13.5" customHeight="1" x14ac:dyDescent="0.35"/>
    <row r="530" ht="13.5" customHeight="1" x14ac:dyDescent="0.35"/>
    <row r="531" ht="13.5" customHeight="1" x14ac:dyDescent="0.35"/>
    <row r="532" ht="13.5" customHeight="1" x14ac:dyDescent="0.35"/>
    <row r="533" ht="13.5" customHeight="1" x14ac:dyDescent="0.35"/>
    <row r="534" ht="13.5" customHeight="1" x14ac:dyDescent="0.35"/>
    <row r="535" ht="13.5" customHeight="1" x14ac:dyDescent="0.35"/>
    <row r="536" ht="13.5" customHeight="1" x14ac:dyDescent="0.35"/>
    <row r="537" ht="13.5" customHeight="1" x14ac:dyDescent="0.35"/>
    <row r="538" ht="13.5" customHeight="1" x14ac:dyDescent="0.35"/>
    <row r="539" ht="13.5" customHeight="1" x14ac:dyDescent="0.35"/>
    <row r="540" ht="13.5" customHeight="1" x14ac:dyDescent="0.35"/>
    <row r="541" ht="13.5" customHeight="1" x14ac:dyDescent="0.35"/>
    <row r="542" ht="13.5" customHeight="1" x14ac:dyDescent="0.35"/>
    <row r="543" ht="13.5" customHeight="1" x14ac:dyDescent="0.35"/>
    <row r="544" ht="13.5" customHeight="1" x14ac:dyDescent="0.35"/>
    <row r="545" ht="13.5" customHeight="1" x14ac:dyDescent="0.35"/>
    <row r="546" ht="13.5" customHeight="1" x14ac:dyDescent="0.35"/>
    <row r="547" ht="13.5" customHeight="1" x14ac:dyDescent="0.35"/>
    <row r="548" ht="13.5" customHeight="1" x14ac:dyDescent="0.35"/>
    <row r="549" ht="13.5" customHeight="1" x14ac:dyDescent="0.35"/>
    <row r="550" ht="13.5" customHeight="1" x14ac:dyDescent="0.35"/>
    <row r="551" ht="13.5" customHeight="1" x14ac:dyDescent="0.35"/>
    <row r="552" ht="13.5" customHeight="1" x14ac:dyDescent="0.35"/>
    <row r="553" ht="13.5" customHeight="1" x14ac:dyDescent="0.35"/>
    <row r="554" ht="13.5" customHeight="1" x14ac:dyDescent="0.35"/>
    <row r="555" ht="13.5" customHeight="1" x14ac:dyDescent="0.35"/>
    <row r="556" ht="13.5" customHeight="1" x14ac:dyDescent="0.35"/>
    <row r="557" ht="13.5" customHeight="1" x14ac:dyDescent="0.35"/>
    <row r="558" ht="13.5" customHeight="1" x14ac:dyDescent="0.35"/>
    <row r="559" ht="13.5" customHeight="1" x14ac:dyDescent="0.35"/>
    <row r="560" ht="13.5" customHeight="1" x14ac:dyDescent="0.35"/>
    <row r="561" ht="13.5" customHeight="1" x14ac:dyDescent="0.35"/>
    <row r="562" ht="13.5" customHeight="1" x14ac:dyDescent="0.35"/>
    <row r="563" ht="13.5" customHeight="1" x14ac:dyDescent="0.35"/>
    <row r="564" ht="13.5" customHeight="1" x14ac:dyDescent="0.35"/>
    <row r="565" ht="13.5" customHeight="1" x14ac:dyDescent="0.35"/>
    <row r="566" ht="13.5" customHeight="1" x14ac:dyDescent="0.35"/>
    <row r="567" ht="13.5" customHeight="1" x14ac:dyDescent="0.35"/>
    <row r="568" ht="13.5" customHeight="1" x14ac:dyDescent="0.35"/>
    <row r="569" ht="13.5" customHeight="1" x14ac:dyDescent="0.35"/>
    <row r="570" ht="13.5" customHeight="1" x14ac:dyDescent="0.35"/>
    <row r="571" ht="13.5" customHeight="1" x14ac:dyDescent="0.35"/>
    <row r="572" ht="13.5" customHeight="1" x14ac:dyDescent="0.35"/>
    <row r="573" ht="13.5" customHeight="1" x14ac:dyDescent="0.35"/>
    <row r="574" ht="13.5" customHeight="1" x14ac:dyDescent="0.35"/>
    <row r="575" ht="13.5" customHeight="1" x14ac:dyDescent="0.35"/>
    <row r="576" ht="13.5" customHeight="1" x14ac:dyDescent="0.35"/>
    <row r="577" ht="13.5" customHeight="1" x14ac:dyDescent="0.35"/>
    <row r="578" ht="13.5" customHeight="1" x14ac:dyDescent="0.35"/>
    <row r="579" ht="13.5" customHeight="1" x14ac:dyDescent="0.35"/>
    <row r="580" ht="13.5" customHeight="1" x14ac:dyDescent="0.35"/>
    <row r="581" ht="13.5" customHeight="1" x14ac:dyDescent="0.35"/>
    <row r="582" ht="13.5" customHeight="1" x14ac:dyDescent="0.35"/>
    <row r="583" ht="13.5" customHeight="1" x14ac:dyDescent="0.35"/>
    <row r="584" ht="13.5" customHeight="1" x14ac:dyDescent="0.35"/>
    <row r="585" ht="13.5" customHeight="1" x14ac:dyDescent="0.35"/>
    <row r="586" ht="13.5" customHeight="1" x14ac:dyDescent="0.35"/>
    <row r="587" ht="13.5" customHeight="1" x14ac:dyDescent="0.35"/>
    <row r="588" ht="13.5" customHeight="1" x14ac:dyDescent="0.35"/>
    <row r="589" ht="13.5" customHeight="1" x14ac:dyDescent="0.35"/>
    <row r="590" ht="13.5" customHeight="1" x14ac:dyDescent="0.35"/>
    <row r="591" ht="13.5" customHeight="1" x14ac:dyDescent="0.35"/>
    <row r="592" ht="13.5" customHeight="1" x14ac:dyDescent="0.35"/>
    <row r="593" ht="13.5" customHeight="1" x14ac:dyDescent="0.35"/>
    <row r="594" ht="13.5" customHeight="1" x14ac:dyDescent="0.35"/>
    <row r="595" ht="13.5" customHeight="1" x14ac:dyDescent="0.35"/>
    <row r="596" ht="13.5" customHeight="1" x14ac:dyDescent="0.35"/>
    <row r="597" ht="13.5" customHeight="1" x14ac:dyDescent="0.35"/>
    <row r="598" ht="13.5" customHeight="1" x14ac:dyDescent="0.35"/>
    <row r="599" ht="13.5" customHeight="1" x14ac:dyDescent="0.35"/>
    <row r="600" ht="13.5" customHeight="1" x14ac:dyDescent="0.35"/>
    <row r="601" ht="13.5" customHeight="1" x14ac:dyDescent="0.35"/>
    <row r="602" ht="13.5" customHeight="1" x14ac:dyDescent="0.35"/>
    <row r="603" ht="13.5" customHeight="1" x14ac:dyDescent="0.35"/>
    <row r="604" ht="13.5" customHeight="1" x14ac:dyDescent="0.35"/>
    <row r="605" ht="13.5" customHeight="1" x14ac:dyDescent="0.35"/>
    <row r="606" ht="13.5" customHeight="1" x14ac:dyDescent="0.35"/>
    <row r="607" ht="13.5" customHeight="1" x14ac:dyDescent="0.35"/>
    <row r="608" ht="13.5" customHeight="1" x14ac:dyDescent="0.35"/>
    <row r="609" ht="13.5" customHeight="1" x14ac:dyDescent="0.35"/>
    <row r="610" ht="13.5" customHeight="1" x14ac:dyDescent="0.35"/>
    <row r="611" ht="13.5" customHeight="1" x14ac:dyDescent="0.35"/>
    <row r="612" ht="13.5" customHeight="1" x14ac:dyDescent="0.35"/>
    <row r="613" ht="13.5" customHeight="1" x14ac:dyDescent="0.35"/>
    <row r="614" ht="13.5" customHeight="1" x14ac:dyDescent="0.35"/>
    <row r="615" ht="13.5" customHeight="1" x14ac:dyDescent="0.35"/>
    <row r="616" ht="13.5" customHeight="1" x14ac:dyDescent="0.35"/>
    <row r="617" ht="13.5" customHeight="1" x14ac:dyDescent="0.35"/>
    <row r="618" ht="13.5" customHeight="1" x14ac:dyDescent="0.35"/>
    <row r="619" ht="13.5" customHeight="1" x14ac:dyDescent="0.35"/>
    <row r="620" ht="13.5" customHeight="1" x14ac:dyDescent="0.35"/>
    <row r="621" ht="13.5" customHeight="1" x14ac:dyDescent="0.35"/>
    <row r="622" ht="13.5" customHeight="1" x14ac:dyDescent="0.35"/>
    <row r="623" ht="13.5" customHeight="1" x14ac:dyDescent="0.35"/>
    <row r="624" ht="13.5" customHeight="1" x14ac:dyDescent="0.35"/>
    <row r="625" ht="13.5" customHeight="1" x14ac:dyDescent="0.35"/>
    <row r="626" ht="13.5" customHeight="1" x14ac:dyDescent="0.35"/>
    <row r="627" ht="13.5" customHeight="1" x14ac:dyDescent="0.35"/>
    <row r="628" ht="13.5" customHeight="1" x14ac:dyDescent="0.35"/>
    <row r="629" ht="13.5" customHeight="1" x14ac:dyDescent="0.35"/>
    <row r="630" ht="13.5" customHeight="1" x14ac:dyDescent="0.35"/>
    <row r="631" ht="13.5" customHeight="1" x14ac:dyDescent="0.35"/>
    <row r="632" ht="13.5" customHeight="1" x14ac:dyDescent="0.35"/>
    <row r="633" ht="13.5" customHeight="1" x14ac:dyDescent="0.35"/>
    <row r="634" ht="13.5" customHeight="1" x14ac:dyDescent="0.35"/>
    <row r="635" ht="13.5" customHeight="1" x14ac:dyDescent="0.35"/>
    <row r="636" ht="13.5" customHeight="1" x14ac:dyDescent="0.35"/>
    <row r="637" ht="13.5" customHeight="1" x14ac:dyDescent="0.35"/>
    <row r="638" ht="13.5" customHeight="1" x14ac:dyDescent="0.35"/>
    <row r="639" ht="13.5" customHeight="1" x14ac:dyDescent="0.35"/>
    <row r="640" ht="13.5" customHeight="1" x14ac:dyDescent="0.35"/>
    <row r="641" ht="13.5" customHeight="1" x14ac:dyDescent="0.35"/>
    <row r="642" ht="13.5" customHeight="1" x14ac:dyDescent="0.35"/>
    <row r="643" ht="13.5" customHeight="1" x14ac:dyDescent="0.35"/>
    <row r="644" ht="13.5" customHeight="1" x14ac:dyDescent="0.35"/>
    <row r="645" ht="13.5" customHeight="1" x14ac:dyDescent="0.35"/>
    <row r="646" ht="13.5" customHeight="1" x14ac:dyDescent="0.35"/>
    <row r="647" ht="13.5" customHeight="1" x14ac:dyDescent="0.35"/>
    <row r="648" ht="13.5" customHeight="1" x14ac:dyDescent="0.35"/>
    <row r="649" ht="13.5" customHeight="1" x14ac:dyDescent="0.35"/>
    <row r="650" ht="13.5" customHeight="1" x14ac:dyDescent="0.35"/>
    <row r="651" ht="13.5" customHeight="1" x14ac:dyDescent="0.35"/>
    <row r="652" ht="13.5" customHeight="1" x14ac:dyDescent="0.35"/>
    <row r="653" ht="13.5" customHeight="1" x14ac:dyDescent="0.35"/>
    <row r="654" ht="13.5" customHeight="1" x14ac:dyDescent="0.35"/>
    <row r="655" ht="13.5" customHeight="1" x14ac:dyDescent="0.35"/>
    <row r="656" ht="13.5" customHeight="1" x14ac:dyDescent="0.35"/>
    <row r="657" ht="13.5" customHeight="1" x14ac:dyDescent="0.35"/>
    <row r="658" ht="13.5" customHeight="1" x14ac:dyDescent="0.35"/>
    <row r="659" ht="13.5" customHeight="1" x14ac:dyDescent="0.35"/>
    <row r="660" ht="13.5" customHeight="1" x14ac:dyDescent="0.35"/>
    <row r="661" ht="13.5" customHeight="1" x14ac:dyDescent="0.35"/>
    <row r="662" ht="13.5" customHeight="1" x14ac:dyDescent="0.35"/>
    <row r="663" ht="13.5" customHeight="1" x14ac:dyDescent="0.35"/>
    <row r="664" ht="13.5" customHeight="1" x14ac:dyDescent="0.35"/>
    <row r="665" ht="13.5" customHeight="1" x14ac:dyDescent="0.35"/>
    <row r="666" ht="13.5" customHeight="1" x14ac:dyDescent="0.35"/>
    <row r="667" ht="13.5" customHeight="1" x14ac:dyDescent="0.35"/>
    <row r="668" ht="13.5" customHeight="1" x14ac:dyDescent="0.35"/>
    <row r="669" ht="13.5" customHeight="1" x14ac:dyDescent="0.35"/>
    <row r="670" ht="13.5" customHeight="1" x14ac:dyDescent="0.35"/>
    <row r="671" ht="13.5" customHeight="1" x14ac:dyDescent="0.35"/>
    <row r="672" ht="13.5" customHeight="1" x14ac:dyDescent="0.35"/>
    <row r="673" ht="13.5" customHeight="1" x14ac:dyDescent="0.35"/>
    <row r="674" ht="13.5" customHeight="1" x14ac:dyDescent="0.35"/>
    <row r="675" ht="13.5" customHeight="1" x14ac:dyDescent="0.35"/>
    <row r="676" ht="13.5" customHeight="1" x14ac:dyDescent="0.35"/>
    <row r="677" ht="13.5" customHeight="1" x14ac:dyDescent="0.35"/>
    <row r="678" ht="13.5" customHeight="1" x14ac:dyDescent="0.35"/>
    <row r="679" ht="13.5" customHeight="1" x14ac:dyDescent="0.35"/>
    <row r="680" ht="13.5" customHeight="1" x14ac:dyDescent="0.35"/>
    <row r="681" ht="13.5" customHeight="1" x14ac:dyDescent="0.35"/>
    <row r="682" ht="13.5" customHeight="1" x14ac:dyDescent="0.35"/>
    <row r="683" ht="13.5" customHeight="1" x14ac:dyDescent="0.35"/>
    <row r="684" ht="13.5" customHeight="1" x14ac:dyDescent="0.35"/>
    <row r="685" ht="13.5" customHeight="1" x14ac:dyDescent="0.35"/>
    <row r="686" ht="13.5" customHeight="1" x14ac:dyDescent="0.35"/>
    <row r="687" ht="13.5" customHeight="1" x14ac:dyDescent="0.35"/>
    <row r="688" ht="13.5" customHeight="1" x14ac:dyDescent="0.35"/>
    <row r="689" ht="13.5" customHeight="1" x14ac:dyDescent="0.35"/>
    <row r="690" ht="13.5" customHeight="1" x14ac:dyDescent="0.35"/>
    <row r="691" ht="13.5" customHeight="1" x14ac:dyDescent="0.35"/>
    <row r="692" ht="13.5" customHeight="1" x14ac:dyDescent="0.35"/>
    <row r="693" ht="13.5" customHeight="1" x14ac:dyDescent="0.35"/>
    <row r="694" ht="13.5" customHeight="1" x14ac:dyDescent="0.35"/>
    <row r="695" ht="13.5" customHeight="1" x14ac:dyDescent="0.35"/>
    <row r="696" ht="13.5" customHeight="1" x14ac:dyDescent="0.35"/>
    <row r="697" ht="13.5" customHeight="1" x14ac:dyDescent="0.35"/>
    <row r="698" ht="13.5" customHeight="1" x14ac:dyDescent="0.35"/>
    <row r="699" ht="13.5" customHeight="1" x14ac:dyDescent="0.35"/>
    <row r="700" ht="13.5" customHeight="1" x14ac:dyDescent="0.35"/>
    <row r="701" ht="13.5" customHeight="1" x14ac:dyDescent="0.35"/>
    <row r="702" ht="13.5" customHeight="1" x14ac:dyDescent="0.35"/>
    <row r="703" ht="13.5" customHeight="1" x14ac:dyDescent="0.35"/>
    <row r="704" ht="13.5" customHeight="1" x14ac:dyDescent="0.35"/>
    <row r="705" ht="13.5" customHeight="1" x14ac:dyDescent="0.35"/>
    <row r="706" ht="13.5" customHeight="1" x14ac:dyDescent="0.35"/>
    <row r="707" ht="13.5" customHeight="1" x14ac:dyDescent="0.35"/>
    <row r="708" ht="13.5" customHeight="1" x14ac:dyDescent="0.35"/>
    <row r="709" ht="13.5" customHeight="1" x14ac:dyDescent="0.35"/>
    <row r="710" ht="13.5" customHeight="1" x14ac:dyDescent="0.35"/>
    <row r="711" ht="13.5" customHeight="1" x14ac:dyDescent="0.35"/>
    <row r="712" ht="13.5" customHeight="1" x14ac:dyDescent="0.35"/>
    <row r="713" ht="13.5" customHeight="1" x14ac:dyDescent="0.35"/>
    <row r="714" ht="13.5" customHeight="1" x14ac:dyDescent="0.35"/>
    <row r="715" ht="13.5" customHeight="1" x14ac:dyDescent="0.35"/>
    <row r="716" ht="13.5" customHeight="1" x14ac:dyDescent="0.35"/>
    <row r="717" ht="13.5" customHeight="1" x14ac:dyDescent="0.35"/>
    <row r="718" ht="13.5" customHeight="1" x14ac:dyDescent="0.35"/>
    <row r="719" ht="13.5" customHeight="1" x14ac:dyDescent="0.35"/>
    <row r="720" ht="13.5" customHeight="1" x14ac:dyDescent="0.35"/>
    <row r="721" ht="13.5" customHeight="1" x14ac:dyDescent="0.35"/>
    <row r="722" ht="13.5" customHeight="1" x14ac:dyDescent="0.35"/>
    <row r="723" ht="13.5" customHeight="1" x14ac:dyDescent="0.35"/>
    <row r="724" ht="13.5" customHeight="1" x14ac:dyDescent="0.35"/>
    <row r="725" ht="13.5" customHeight="1" x14ac:dyDescent="0.35"/>
    <row r="726" ht="13.5" customHeight="1" x14ac:dyDescent="0.35"/>
    <row r="727" ht="13.5" customHeight="1" x14ac:dyDescent="0.35"/>
    <row r="728" ht="13.5" customHeight="1" x14ac:dyDescent="0.35"/>
    <row r="729" ht="13.5" customHeight="1" x14ac:dyDescent="0.35"/>
    <row r="730" ht="13.5" customHeight="1" x14ac:dyDescent="0.35"/>
    <row r="731" ht="13.5" customHeight="1" x14ac:dyDescent="0.35"/>
    <row r="732" ht="13.5" customHeight="1" x14ac:dyDescent="0.35"/>
    <row r="733" ht="13.5" customHeight="1" x14ac:dyDescent="0.35"/>
    <row r="734" ht="13.5" customHeight="1" x14ac:dyDescent="0.35"/>
    <row r="735" ht="13.5" customHeight="1" x14ac:dyDescent="0.35"/>
    <row r="736" ht="13.5" customHeight="1" x14ac:dyDescent="0.35"/>
    <row r="737" ht="13.5" customHeight="1" x14ac:dyDescent="0.35"/>
    <row r="738" ht="13.5" customHeight="1" x14ac:dyDescent="0.35"/>
    <row r="739" ht="13.5" customHeight="1" x14ac:dyDescent="0.35"/>
    <row r="740" ht="13.5" customHeight="1" x14ac:dyDescent="0.35"/>
    <row r="741" ht="13.5" customHeight="1" x14ac:dyDescent="0.35"/>
    <row r="742" ht="13.5" customHeight="1" x14ac:dyDescent="0.35"/>
    <row r="743" ht="13.5" customHeight="1" x14ac:dyDescent="0.35"/>
    <row r="744" ht="13.5" customHeight="1" x14ac:dyDescent="0.35"/>
    <row r="745" ht="13.5" customHeight="1" x14ac:dyDescent="0.35"/>
    <row r="746" ht="13.5" customHeight="1" x14ac:dyDescent="0.35"/>
    <row r="747" ht="13.5" customHeight="1" x14ac:dyDescent="0.35"/>
    <row r="748" ht="13.5" customHeight="1" x14ac:dyDescent="0.35"/>
    <row r="749" ht="13.5" customHeight="1" x14ac:dyDescent="0.35"/>
    <row r="750" ht="13.5" customHeight="1" x14ac:dyDescent="0.35"/>
    <row r="751" ht="13.5" customHeight="1" x14ac:dyDescent="0.35"/>
    <row r="752" ht="13.5" customHeight="1" x14ac:dyDescent="0.35"/>
    <row r="753" ht="13.5" customHeight="1" x14ac:dyDescent="0.35"/>
    <row r="754" ht="13.5" customHeight="1" x14ac:dyDescent="0.35"/>
    <row r="755" ht="13.5" customHeight="1" x14ac:dyDescent="0.35"/>
    <row r="756" ht="13.5" customHeight="1" x14ac:dyDescent="0.35"/>
    <row r="757" ht="13.5" customHeight="1" x14ac:dyDescent="0.35"/>
    <row r="758" ht="13.5" customHeight="1" x14ac:dyDescent="0.35"/>
    <row r="759" ht="13.5" customHeight="1" x14ac:dyDescent="0.35"/>
    <row r="760" ht="13.5" customHeight="1" x14ac:dyDescent="0.35"/>
    <row r="761" ht="13.5" customHeight="1" x14ac:dyDescent="0.35"/>
    <row r="762" ht="13.5" customHeight="1" x14ac:dyDescent="0.35"/>
    <row r="763" ht="13.5" customHeight="1" x14ac:dyDescent="0.35"/>
    <row r="764" ht="13.5" customHeight="1" x14ac:dyDescent="0.35"/>
    <row r="765" ht="13.5" customHeight="1" x14ac:dyDescent="0.35"/>
    <row r="766" ht="13.5" customHeight="1" x14ac:dyDescent="0.35"/>
    <row r="767" ht="13.5" customHeight="1" x14ac:dyDescent="0.35"/>
    <row r="768" ht="13.5" customHeight="1" x14ac:dyDescent="0.35"/>
    <row r="769" ht="13.5" customHeight="1" x14ac:dyDescent="0.35"/>
    <row r="770" ht="13.5" customHeight="1" x14ac:dyDescent="0.35"/>
    <row r="771" ht="13.5" customHeight="1" x14ac:dyDescent="0.35"/>
    <row r="772" ht="13.5" customHeight="1" x14ac:dyDescent="0.35"/>
    <row r="773" ht="13.5" customHeight="1" x14ac:dyDescent="0.35"/>
    <row r="774" ht="13.5" customHeight="1" x14ac:dyDescent="0.35"/>
    <row r="775" ht="13.5" customHeight="1" x14ac:dyDescent="0.35"/>
    <row r="776" ht="13.5" customHeight="1" x14ac:dyDescent="0.35"/>
    <row r="777" ht="13.5" customHeight="1" x14ac:dyDescent="0.35"/>
    <row r="778" ht="13.5" customHeight="1" x14ac:dyDescent="0.35"/>
    <row r="779" ht="13.5" customHeight="1" x14ac:dyDescent="0.35"/>
    <row r="780" ht="13.5" customHeight="1" x14ac:dyDescent="0.35"/>
    <row r="781" ht="13.5" customHeight="1" x14ac:dyDescent="0.35"/>
    <row r="782" ht="13.5" customHeight="1" x14ac:dyDescent="0.35"/>
    <row r="783" ht="13.5" customHeight="1" x14ac:dyDescent="0.35"/>
    <row r="784" ht="13.5" customHeight="1" x14ac:dyDescent="0.35"/>
    <row r="785" ht="13.5" customHeight="1" x14ac:dyDescent="0.35"/>
    <row r="786" ht="13.5" customHeight="1" x14ac:dyDescent="0.35"/>
    <row r="787" ht="13.5" customHeight="1" x14ac:dyDescent="0.35"/>
    <row r="788" ht="13.5" customHeight="1" x14ac:dyDescent="0.35"/>
    <row r="789" ht="13.5" customHeight="1" x14ac:dyDescent="0.35"/>
    <row r="790" ht="13.5" customHeight="1" x14ac:dyDescent="0.35"/>
    <row r="791" ht="13.5" customHeight="1" x14ac:dyDescent="0.35"/>
    <row r="792" ht="13.5" customHeight="1" x14ac:dyDescent="0.35"/>
    <row r="793" ht="13.5" customHeight="1" x14ac:dyDescent="0.35"/>
    <row r="794" ht="13.5" customHeight="1" x14ac:dyDescent="0.35"/>
    <row r="795" ht="13.5" customHeight="1" x14ac:dyDescent="0.35"/>
    <row r="796" ht="13.5" customHeight="1" x14ac:dyDescent="0.35"/>
    <row r="797" ht="13.5" customHeight="1" x14ac:dyDescent="0.35"/>
    <row r="798" ht="13.5" customHeight="1" x14ac:dyDescent="0.35"/>
    <row r="799" ht="13.5" customHeight="1" x14ac:dyDescent="0.35"/>
    <row r="800" ht="13.5" customHeight="1" x14ac:dyDescent="0.35"/>
    <row r="801" ht="13.5" customHeight="1" x14ac:dyDescent="0.35"/>
    <row r="802" ht="13.5" customHeight="1" x14ac:dyDescent="0.35"/>
    <row r="803" ht="13.5" customHeight="1" x14ac:dyDescent="0.35"/>
    <row r="804" ht="13.5" customHeight="1" x14ac:dyDescent="0.35"/>
    <row r="805" ht="13.5" customHeight="1" x14ac:dyDescent="0.35"/>
    <row r="806" ht="13.5" customHeight="1" x14ac:dyDescent="0.35"/>
    <row r="807" ht="13.5" customHeight="1" x14ac:dyDescent="0.35"/>
    <row r="808" ht="13.5" customHeight="1" x14ac:dyDescent="0.35"/>
    <row r="809" ht="13.5" customHeight="1" x14ac:dyDescent="0.35"/>
    <row r="810" ht="13.5" customHeight="1" x14ac:dyDescent="0.35"/>
    <row r="811" ht="13.5" customHeight="1" x14ac:dyDescent="0.35"/>
    <row r="812" ht="13.5" customHeight="1" x14ac:dyDescent="0.35"/>
    <row r="813" ht="13.5" customHeight="1" x14ac:dyDescent="0.35"/>
    <row r="814" ht="13.5" customHeight="1" x14ac:dyDescent="0.35"/>
    <row r="815" ht="13.5" customHeight="1" x14ac:dyDescent="0.35"/>
    <row r="816" ht="13.5" customHeight="1" x14ac:dyDescent="0.35"/>
    <row r="817" ht="13.5" customHeight="1" x14ac:dyDescent="0.35"/>
    <row r="818" ht="13.5" customHeight="1" x14ac:dyDescent="0.35"/>
    <row r="819" ht="13.5" customHeight="1" x14ac:dyDescent="0.35"/>
    <row r="820" ht="13.5" customHeight="1" x14ac:dyDescent="0.35"/>
    <row r="821" ht="13.5" customHeight="1" x14ac:dyDescent="0.35"/>
    <row r="822" ht="13.5" customHeight="1" x14ac:dyDescent="0.35"/>
    <row r="823" ht="13.5" customHeight="1" x14ac:dyDescent="0.35"/>
    <row r="824" ht="13.5" customHeight="1" x14ac:dyDescent="0.35"/>
    <row r="825" ht="13.5" customHeight="1" x14ac:dyDescent="0.35"/>
    <row r="826" ht="13.5" customHeight="1" x14ac:dyDescent="0.35"/>
    <row r="827" ht="13.5" customHeight="1" x14ac:dyDescent="0.35"/>
    <row r="828" ht="13.5" customHeight="1" x14ac:dyDescent="0.35"/>
    <row r="829" ht="13.5" customHeight="1" x14ac:dyDescent="0.35"/>
    <row r="830" ht="13.5" customHeight="1" x14ac:dyDescent="0.35"/>
    <row r="831" ht="13.5" customHeight="1" x14ac:dyDescent="0.35"/>
    <row r="832" ht="13.5" customHeight="1" x14ac:dyDescent="0.35"/>
    <row r="833" ht="13.5" customHeight="1" x14ac:dyDescent="0.35"/>
    <row r="834" ht="13.5" customHeight="1" x14ac:dyDescent="0.35"/>
    <row r="835" ht="13.5" customHeight="1" x14ac:dyDescent="0.35"/>
    <row r="836" ht="13.5" customHeight="1" x14ac:dyDescent="0.35"/>
    <row r="837" ht="13.5" customHeight="1" x14ac:dyDescent="0.35"/>
    <row r="838" ht="13.5" customHeight="1" x14ac:dyDescent="0.35"/>
    <row r="839" ht="13.5" customHeight="1" x14ac:dyDescent="0.35"/>
    <row r="840" ht="13.5" customHeight="1" x14ac:dyDescent="0.35"/>
    <row r="841" ht="13.5" customHeight="1" x14ac:dyDescent="0.35"/>
    <row r="842" ht="13.5" customHeight="1" x14ac:dyDescent="0.35"/>
    <row r="843" ht="13.5" customHeight="1" x14ac:dyDescent="0.35"/>
    <row r="844" ht="13.5" customHeight="1" x14ac:dyDescent="0.35"/>
    <row r="845" ht="13.5" customHeight="1" x14ac:dyDescent="0.35"/>
    <row r="846" ht="13.5" customHeight="1" x14ac:dyDescent="0.35"/>
    <row r="847" ht="13.5" customHeight="1" x14ac:dyDescent="0.35"/>
    <row r="848" ht="13.5" customHeight="1" x14ac:dyDescent="0.35"/>
    <row r="849" ht="13.5" customHeight="1" x14ac:dyDescent="0.35"/>
    <row r="850" ht="13.5" customHeight="1" x14ac:dyDescent="0.35"/>
    <row r="851" ht="13.5" customHeight="1" x14ac:dyDescent="0.35"/>
    <row r="852" ht="13.5" customHeight="1" x14ac:dyDescent="0.35"/>
    <row r="853" ht="13.5" customHeight="1" x14ac:dyDescent="0.35"/>
    <row r="854" ht="13.5" customHeight="1" x14ac:dyDescent="0.35"/>
    <row r="855" ht="13.5" customHeight="1" x14ac:dyDescent="0.35"/>
    <row r="856" ht="13.5" customHeight="1" x14ac:dyDescent="0.35"/>
    <row r="857" ht="13.5" customHeight="1" x14ac:dyDescent="0.35"/>
    <row r="858" ht="13.5" customHeight="1" x14ac:dyDescent="0.35"/>
    <row r="859" ht="13.5" customHeight="1" x14ac:dyDescent="0.35"/>
    <row r="860" ht="13.5" customHeight="1" x14ac:dyDescent="0.35"/>
    <row r="861" ht="13.5" customHeight="1" x14ac:dyDescent="0.35"/>
    <row r="862" ht="13.5" customHeight="1" x14ac:dyDescent="0.35"/>
    <row r="863" ht="13.5" customHeight="1" x14ac:dyDescent="0.35"/>
    <row r="864" ht="13.5" customHeight="1" x14ac:dyDescent="0.35"/>
    <row r="865" ht="13.5" customHeight="1" x14ac:dyDescent="0.35"/>
    <row r="866" ht="13.5" customHeight="1" x14ac:dyDescent="0.35"/>
    <row r="867" ht="13.5" customHeight="1" x14ac:dyDescent="0.35"/>
    <row r="868" ht="13.5" customHeight="1" x14ac:dyDescent="0.35"/>
    <row r="869" ht="13.5" customHeight="1" x14ac:dyDescent="0.35"/>
    <row r="870" ht="13.5" customHeight="1" x14ac:dyDescent="0.35"/>
    <row r="871" ht="13.5" customHeight="1" x14ac:dyDescent="0.35"/>
    <row r="872" ht="13.5" customHeight="1" x14ac:dyDescent="0.35"/>
    <row r="873" ht="13.5" customHeight="1" x14ac:dyDescent="0.35"/>
    <row r="874" ht="13.5" customHeight="1" x14ac:dyDescent="0.35"/>
    <row r="875" ht="13.5" customHeight="1" x14ac:dyDescent="0.35"/>
    <row r="876" ht="13.5" customHeight="1" x14ac:dyDescent="0.35"/>
    <row r="877" ht="13.5" customHeight="1" x14ac:dyDescent="0.35"/>
    <row r="878" ht="13.5" customHeight="1" x14ac:dyDescent="0.35"/>
    <row r="879" ht="13.5" customHeight="1" x14ac:dyDescent="0.35"/>
    <row r="880" ht="13.5" customHeight="1" x14ac:dyDescent="0.35"/>
    <row r="881" ht="13.5" customHeight="1" x14ac:dyDescent="0.35"/>
    <row r="882" ht="13.5" customHeight="1" x14ac:dyDescent="0.35"/>
    <row r="883" ht="13.5" customHeight="1" x14ac:dyDescent="0.35"/>
    <row r="884" ht="13.5" customHeight="1" x14ac:dyDescent="0.35"/>
    <row r="885" ht="13.5" customHeight="1" x14ac:dyDescent="0.35"/>
    <row r="886" ht="13.5" customHeight="1" x14ac:dyDescent="0.35"/>
    <row r="887" ht="13.5" customHeight="1" x14ac:dyDescent="0.35"/>
    <row r="888" ht="13.5" customHeight="1" x14ac:dyDescent="0.35"/>
    <row r="889" ht="13.5" customHeight="1" x14ac:dyDescent="0.35"/>
    <row r="890" ht="13.5" customHeight="1" x14ac:dyDescent="0.35"/>
    <row r="891" ht="13.5" customHeight="1" x14ac:dyDescent="0.35"/>
    <row r="892" ht="13.5" customHeight="1" x14ac:dyDescent="0.35"/>
    <row r="893" ht="13.5" customHeight="1" x14ac:dyDescent="0.35"/>
    <row r="894" ht="13.5" customHeight="1" x14ac:dyDescent="0.35"/>
    <row r="895" ht="13.5" customHeight="1" x14ac:dyDescent="0.35"/>
    <row r="896" ht="13.5" customHeight="1" x14ac:dyDescent="0.35"/>
    <row r="897" ht="13.5" customHeight="1" x14ac:dyDescent="0.35"/>
    <row r="898" ht="13.5" customHeight="1" x14ac:dyDescent="0.35"/>
    <row r="899" ht="13.5" customHeight="1" x14ac:dyDescent="0.35"/>
    <row r="900" ht="13.5" customHeight="1" x14ac:dyDescent="0.35"/>
    <row r="901" ht="13.5" customHeight="1" x14ac:dyDescent="0.35"/>
    <row r="902" ht="13.5" customHeight="1" x14ac:dyDescent="0.35"/>
    <row r="903" ht="13.5" customHeight="1" x14ac:dyDescent="0.35"/>
    <row r="904" ht="13.5" customHeight="1" x14ac:dyDescent="0.35"/>
    <row r="905" ht="13.5" customHeight="1" x14ac:dyDescent="0.35"/>
    <row r="906" ht="13.5" customHeight="1" x14ac:dyDescent="0.35"/>
    <row r="907" ht="13.5" customHeight="1" x14ac:dyDescent="0.35"/>
    <row r="908" ht="13.5" customHeight="1" x14ac:dyDescent="0.35"/>
    <row r="909" ht="13.5" customHeight="1" x14ac:dyDescent="0.35"/>
    <row r="910" ht="13.5" customHeight="1" x14ac:dyDescent="0.35"/>
    <row r="911" ht="13.5" customHeight="1" x14ac:dyDescent="0.35"/>
    <row r="912" ht="13.5" customHeight="1" x14ac:dyDescent="0.35"/>
    <row r="913" ht="13.5" customHeight="1" x14ac:dyDescent="0.35"/>
    <row r="914" ht="13.5" customHeight="1" x14ac:dyDescent="0.35"/>
    <row r="915" ht="13.5" customHeight="1" x14ac:dyDescent="0.35"/>
    <row r="916" ht="13.5" customHeight="1" x14ac:dyDescent="0.35"/>
    <row r="917" ht="13.5" customHeight="1" x14ac:dyDescent="0.35"/>
    <row r="918" ht="13.5" customHeight="1" x14ac:dyDescent="0.35"/>
    <row r="919" ht="13.5" customHeight="1" x14ac:dyDescent="0.35"/>
    <row r="920" ht="13.5" customHeight="1" x14ac:dyDescent="0.35"/>
    <row r="921" ht="13.5" customHeight="1" x14ac:dyDescent="0.35"/>
    <row r="922" ht="13.5" customHeight="1" x14ac:dyDescent="0.35"/>
    <row r="923" ht="13.5" customHeight="1" x14ac:dyDescent="0.35"/>
    <row r="924" ht="13.5" customHeight="1" x14ac:dyDescent="0.35"/>
    <row r="925" ht="13.5" customHeight="1" x14ac:dyDescent="0.35"/>
    <row r="926" ht="13.5" customHeight="1" x14ac:dyDescent="0.35"/>
    <row r="927" ht="13.5" customHeight="1" x14ac:dyDescent="0.35"/>
    <row r="928" ht="13.5" customHeight="1" x14ac:dyDescent="0.35"/>
    <row r="929" ht="13.5" customHeight="1" x14ac:dyDescent="0.35"/>
    <row r="930" ht="13.5" customHeight="1" x14ac:dyDescent="0.35"/>
    <row r="931" ht="13.5" customHeight="1" x14ac:dyDescent="0.35"/>
    <row r="932" ht="13.5" customHeight="1" x14ac:dyDescent="0.35"/>
    <row r="933" ht="13.5" customHeight="1" x14ac:dyDescent="0.35"/>
    <row r="934" ht="13.5" customHeight="1" x14ac:dyDescent="0.35"/>
    <row r="935" ht="13.5" customHeight="1" x14ac:dyDescent="0.35"/>
    <row r="936" ht="13.5" customHeight="1" x14ac:dyDescent="0.35"/>
    <row r="937" ht="13.5" customHeight="1" x14ac:dyDescent="0.35"/>
    <row r="938" ht="13.5" customHeight="1" x14ac:dyDescent="0.35"/>
    <row r="939" ht="13.5" customHeight="1" x14ac:dyDescent="0.35"/>
    <row r="940" ht="13.5" customHeight="1" x14ac:dyDescent="0.35"/>
  </sheetData>
  <mergeCells count="16">
    <mergeCell ref="D42:L42"/>
    <mergeCell ref="N2:O2"/>
    <mergeCell ref="O3:O11"/>
    <mergeCell ref="C43:C44"/>
    <mergeCell ref="A14:B14"/>
    <mergeCell ref="C27:C28"/>
    <mergeCell ref="A18:B18"/>
    <mergeCell ref="A17:B17"/>
    <mergeCell ref="A16:B16"/>
    <mergeCell ref="A15:B15"/>
    <mergeCell ref="A23:B23"/>
    <mergeCell ref="A22:B22"/>
    <mergeCell ref="A21:B21"/>
    <mergeCell ref="A20:B20"/>
    <mergeCell ref="A19:B19"/>
    <mergeCell ref="D26:L26"/>
  </mergeCells>
  <phoneticPr fontId="10" type="noConversion"/>
  <conditionalFormatting sqref="D28:L28">
    <cfRule type="cellIs" dxfId="5" priority="12" operator="lessThan">
      <formula>0</formula>
    </cfRule>
    <cfRule type="cellIs" dxfId="4" priority="13" operator="greaterThan">
      <formula>0</formula>
    </cfRule>
  </conditionalFormatting>
  <conditionalFormatting sqref="D29:L37">
    <cfRule type="cellIs" dxfId="3" priority="7" operator="greaterThan">
      <formula>0</formula>
    </cfRule>
  </conditionalFormatting>
  <conditionalFormatting sqref="D45:L53">
    <cfRule type="cellIs" dxfId="2" priority="1" operator="greaterThan">
      <formula>0</formula>
    </cfRule>
  </conditionalFormatting>
  <conditionalFormatting sqref="K3:K11">
    <cfRule type="cellIs" dxfId="1" priority="14" operator="greaterThan">
      <formula>0</formula>
    </cfRule>
    <cfRule type="cellIs" dxfId="0" priority="15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Arş.Gör.</vt:lpstr>
      <vt:lpstr>Görevler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Berk Ercin</cp:lastModifiedBy>
  <dcterms:created xsi:type="dcterms:W3CDTF">2023-08-04T17:00:40Z</dcterms:created>
  <dcterms:modified xsi:type="dcterms:W3CDTF">2025-02-24T14:50:47Z</dcterms:modified>
</cp:coreProperties>
</file>