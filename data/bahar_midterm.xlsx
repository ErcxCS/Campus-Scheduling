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"/>
    </mc:Choice>
  </mc:AlternateContent>
  <xr:revisionPtr revIDLastSave="0" documentId="13_ncr:1_{233EED17-99CA-44EA-AD0B-43A4CD4AC60F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ARŞ. GÖR. KODLARI" sheetId="6" r:id="rId1"/>
    <sheet name="first" sheetId="1" r:id="rId2"/>
    <sheet name="second" sheetId="2" r:id="rId3"/>
    <sheet name="GÖREV HESABI" sheetId="7" r:id="rId4"/>
  </sheets>
  <definedNames>
    <definedName name="_xlnm._FilterDatabase" localSheetId="0" hidden="1">'ARŞ. GÖR. KODLARI'!$A$1:$C$41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7" l="1"/>
  <c r="H41" i="7"/>
  <c r="G41" i="7"/>
  <c r="F41" i="7"/>
  <c r="E41" i="7"/>
  <c r="M40" i="7"/>
  <c r="M39" i="7"/>
  <c r="M37" i="7"/>
  <c r="M32" i="7"/>
  <c r="L31" i="7"/>
  <c r="K31" i="7"/>
  <c r="J31" i="7"/>
  <c r="I31" i="7"/>
  <c r="H31" i="7"/>
  <c r="G31" i="7"/>
  <c r="F31" i="7"/>
  <c r="D31" i="7"/>
  <c r="D27" i="7"/>
  <c r="E12" i="7"/>
  <c r="H11" i="7"/>
  <c r="G11" i="7"/>
  <c r="F11" i="7"/>
  <c r="H10" i="7"/>
  <c r="G10" i="7"/>
  <c r="F10" i="7"/>
  <c r="H9" i="7"/>
  <c r="G9" i="7"/>
  <c r="D9" i="7"/>
  <c r="F9" i="7" s="1"/>
  <c r="H8" i="7"/>
  <c r="G8" i="7"/>
  <c r="F8" i="7"/>
  <c r="H7" i="7"/>
  <c r="G7" i="7"/>
  <c r="D7" i="7"/>
  <c r="F7" i="7" s="1"/>
  <c r="H6" i="7"/>
  <c r="G6" i="7"/>
  <c r="F6" i="7"/>
  <c r="H5" i="7"/>
  <c r="G5" i="7"/>
  <c r="D5" i="7"/>
  <c r="F5" i="7" s="1"/>
  <c r="H4" i="7"/>
  <c r="G4" i="7"/>
  <c r="F4" i="7"/>
  <c r="H3" i="7"/>
  <c r="H12" i="7" s="1"/>
  <c r="G3" i="7"/>
  <c r="G12" i="7" s="1"/>
  <c r="D3" i="7"/>
  <c r="D12" i="7" s="1"/>
  <c r="F12" i="7" s="1"/>
  <c r="B1" i="7"/>
  <c r="A1" i="7"/>
  <c r="G15" i="7" l="1"/>
  <c r="G13" i="7"/>
  <c r="F3" i="7"/>
  <c r="H13" i="7" l="1"/>
  <c r="I3" i="7"/>
  <c r="J3" i="7" l="1"/>
  <c r="E15" i="7"/>
  <c r="E26" i="7"/>
  <c r="I11" i="7" s="1"/>
  <c r="J11" i="7" s="1"/>
  <c r="E25" i="7"/>
  <c r="I10" i="7" s="1"/>
  <c r="J10" i="7" s="1"/>
  <c r="E24" i="7"/>
  <c r="I9" i="7" s="1"/>
  <c r="J9" i="7" s="1"/>
  <c r="E18" i="7"/>
  <c r="I6" i="7" s="1"/>
  <c r="J6" i="7" s="1"/>
  <c r="E17" i="7"/>
  <c r="I5" i="7" s="1"/>
  <c r="J5" i="7" s="1"/>
  <c r="E23" i="7"/>
  <c r="E21" i="7"/>
  <c r="I8" i="7" s="1"/>
  <c r="J8" i="7" s="1"/>
  <c r="E20" i="7"/>
  <c r="E19" i="7"/>
  <c r="I7" i="7" s="1"/>
  <c r="J7" i="7" s="1"/>
  <c r="E27" i="7" l="1"/>
  <c r="G27" i="7" s="1"/>
  <c r="I13" i="7" s="1"/>
  <c r="H15" i="7" s="1"/>
  <c r="I4" i="7"/>
  <c r="J4" i="7" l="1"/>
  <c r="K4" i="7" s="1"/>
  <c r="I12" i="7"/>
  <c r="I15" i="7" s="1"/>
  <c r="E31" i="7" l="1"/>
  <c r="K12" i="7"/>
</calcChain>
</file>

<file path=xl/sharedStrings.xml><?xml version="1.0" encoding="utf-8"?>
<sst xmlns="http://schemas.openxmlformats.org/spreadsheetml/2006/main" count="875" uniqueCount="236">
  <si>
    <t>Günler</t>
  </si>
  <si>
    <t>Saatler</t>
  </si>
  <si>
    <t>Amfi 1</t>
  </si>
  <si>
    <t>Amfi 2</t>
  </si>
  <si>
    <t>Amfi 3</t>
  </si>
  <si>
    <t>Amfi 4</t>
  </si>
  <si>
    <t>BB01</t>
  </si>
  <si>
    <t>BB04</t>
  </si>
  <si>
    <t>BZ01</t>
  </si>
  <si>
    <t>B102
(GM&amp;JEO)</t>
  </si>
  <si>
    <t>C201
(ÇEV)</t>
  </si>
  <si>
    <t>C202
(ÇEV)</t>
  </si>
  <si>
    <t>C203
(İNŞ)</t>
  </si>
  <si>
    <t>C204
(ÇEV)</t>
  </si>
  <si>
    <t>C205</t>
  </si>
  <si>
    <t>C206
(GM)</t>
  </si>
  <si>
    <t>C207
(GM)</t>
  </si>
  <si>
    <t>C208
(JEO)</t>
  </si>
  <si>
    <t>C209
(İNŞ)</t>
  </si>
  <si>
    <t>C210</t>
  </si>
  <si>
    <t>C211
(JEO)</t>
  </si>
  <si>
    <t>C212
(MAK)</t>
  </si>
  <si>
    <t>C213
(İNŞ)</t>
  </si>
  <si>
    <t>DZ01
(EEM)</t>
  </si>
  <si>
    <t>D201
(MAK)</t>
  </si>
  <si>
    <t>D202
(EEM)</t>
  </si>
  <si>
    <t>D203
(EEM)</t>
  </si>
  <si>
    <t>D204
(MAK)</t>
  </si>
  <si>
    <t>D205
(BM)</t>
  </si>
  <si>
    <t>D206
(BM)</t>
  </si>
  <si>
    <t>TRS</t>
  </si>
  <si>
    <t>CAD1</t>
  </si>
  <si>
    <t>YLAB 1
(BM)</t>
  </si>
  <si>
    <t>YLAB 2</t>
  </si>
  <si>
    <t>YLAB 3</t>
  </si>
  <si>
    <t>Enformatik
Lab-01</t>
  </si>
  <si>
    <t>Enformatik
Lab-03</t>
  </si>
  <si>
    <t>Enformatik
Lab-05</t>
  </si>
  <si>
    <t>07 NİSAN 2025
PAZARTESİ</t>
  </si>
  <si>
    <t>08.30-09.20</t>
  </si>
  <si>
    <t>CA</t>
  </si>
  <si>
    <t>MA</t>
  </si>
  <si>
    <t>HKK</t>
  </si>
  <si>
    <t>AY</t>
  </si>
  <si>
    <t>İFY</t>
  </si>
  <si>
    <t>GA</t>
  </si>
  <si>
    <t>BDB</t>
  </si>
  <si>
    <t>YÇ</t>
  </si>
  <si>
    <t>09.30-10.20</t>
  </si>
  <si>
    <t>10.30-11.20</t>
  </si>
  <si>
    <t>ANR</t>
  </si>
  <si>
    <t>KK</t>
  </si>
  <si>
    <t>SB</t>
  </si>
  <si>
    <t>GAÇ</t>
  </si>
  <si>
    <t>BE</t>
  </si>
  <si>
    <t>11.30-12.20</t>
  </si>
  <si>
    <t>12.30-13.20</t>
  </si>
  <si>
    <t>12.30-13.30</t>
  </si>
  <si>
    <t>13.30-14.20</t>
  </si>
  <si>
    <t>ÖK</t>
  </si>
  <si>
    <t>BÜ</t>
  </si>
  <si>
    <t>TEA</t>
  </si>
  <si>
    <t>MÇ</t>
  </si>
  <si>
    <t>HİA</t>
  </si>
  <si>
    <t>ET</t>
  </si>
  <si>
    <t>HS</t>
  </si>
  <si>
    <t>EFE</t>
  </si>
  <si>
    <t>14.30-15.20</t>
  </si>
  <si>
    <t>15.30-16.20</t>
  </si>
  <si>
    <t>AŞ</t>
  </si>
  <si>
    <t>CÇ</t>
  </si>
  <si>
    <t>MÖ</t>
  </si>
  <si>
    <t>16.30-17.20</t>
  </si>
  <si>
    <t>17.30-18.20</t>
  </si>
  <si>
    <t>08 NİSAN 2025
SALI</t>
  </si>
  <si>
    <t>AT</t>
  </si>
  <si>
    <t>OO</t>
  </si>
  <si>
    <t>TYA</t>
  </si>
  <si>
    <t>MM FBE</t>
  </si>
  <si>
    <t>DS</t>
  </si>
  <si>
    <t>AG</t>
  </si>
  <si>
    <t>NNO</t>
  </si>
  <si>
    <t>AKA</t>
  </si>
  <si>
    <t>SAA</t>
  </si>
  <si>
    <t>09 NİSAN 2025
ÇARŞAMBA</t>
  </si>
  <si>
    <t>HK</t>
  </si>
  <si>
    <t>PEDAGOJİK</t>
  </si>
  <si>
    <t>10 NİSAN 2025
PERŞEMBE</t>
  </si>
  <si>
    <t>İM-2</t>
  </si>
  <si>
    <t>NÖ</t>
  </si>
  <si>
    <t>İY</t>
  </si>
  <si>
    <t>11 NİSAN 2025
CUMA</t>
  </si>
  <si>
    <t>14 NİSAN 2025
PAZARTESİ</t>
  </si>
  <si>
    <t>ÖÖA</t>
  </si>
  <si>
    <t>15 NİSAN 2025
SALI</t>
  </si>
  <si>
    <t>16 NİSAN 2025
ÇARŞAMBA</t>
  </si>
  <si>
    <t>EM-3</t>
  </si>
  <si>
    <t>17 NİSAN 2025
PERŞEMBE</t>
  </si>
  <si>
    <t>KA</t>
  </si>
  <si>
    <t>18 NİSAN 2025
CUMA</t>
  </si>
  <si>
    <t>16.00
NNO</t>
  </si>
  <si>
    <t>EEM</t>
  </si>
  <si>
    <t>ÇEV</t>
  </si>
  <si>
    <t>İNŞ</t>
  </si>
  <si>
    <t>JEO</t>
  </si>
  <si>
    <t>MAK</t>
  </si>
  <si>
    <t>Bölümler</t>
  </si>
  <si>
    <t>MÖ
OO</t>
  </si>
  <si>
    <t>TYA
ÖK</t>
  </si>
  <si>
    <t>ET
BE</t>
  </si>
  <si>
    <t>AKA
ÖK</t>
  </si>
  <si>
    <t>NNO
YÇ</t>
  </si>
  <si>
    <t>MA
NNO</t>
  </si>
  <si>
    <t>AKA
MÖ</t>
  </si>
  <si>
    <t>NNO
TYA</t>
  </si>
  <si>
    <t>DS
GA</t>
  </si>
  <si>
    <t>HS
İY</t>
  </si>
  <si>
    <t>İY
AY</t>
  </si>
  <si>
    <t>EFE
GA</t>
  </si>
  <si>
    <t>TYA
OO</t>
  </si>
  <si>
    <t>OO
YÇ</t>
  </si>
  <si>
    <t>ÖK
MA</t>
  </si>
  <si>
    <t>ET
TYA</t>
  </si>
  <si>
    <t>BDB
MÖ</t>
  </si>
  <si>
    <t>İFY
BDB</t>
  </si>
  <si>
    <t>NÖ
ET</t>
  </si>
  <si>
    <t>YÇ
OO</t>
  </si>
  <si>
    <t>NÖ
OO</t>
  </si>
  <si>
    <t>ET
HİA</t>
  </si>
  <si>
    <t>NNO
BDB</t>
  </si>
  <si>
    <t>İFY
ÖK</t>
  </si>
  <si>
    <t>GA
AY</t>
  </si>
  <si>
    <t>OO
TEA</t>
  </si>
  <si>
    <t>ET
BDB</t>
  </si>
  <si>
    <t>ÖK
YÇ</t>
  </si>
  <si>
    <t>EFE
AY</t>
  </si>
  <si>
    <t>MÖ
BE</t>
  </si>
  <si>
    <t>CÇ
AŞ</t>
  </si>
  <si>
    <t>BE
MA</t>
  </si>
  <si>
    <t>NÖ
HK</t>
  </si>
  <si>
    <t>TYA
CÇ</t>
  </si>
  <si>
    <t>HİA
KA</t>
  </si>
  <si>
    <t>ET
OO</t>
  </si>
  <si>
    <t>MA
BE</t>
  </si>
  <si>
    <t>NÖ
CA</t>
  </si>
  <si>
    <t>MÖ
ÖK</t>
  </si>
  <si>
    <t>BDB
BE</t>
  </si>
  <si>
    <t>AŞ
MÇ</t>
  </si>
  <si>
    <t>DS
AY</t>
  </si>
  <si>
    <t>GA
İY</t>
  </si>
  <si>
    <t>BÖLÜM</t>
  </si>
  <si>
    <t>ARAŞTIRMA GÖREVLİSİ</t>
  </si>
  <si>
    <t>KOD</t>
  </si>
  <si>
    <t>Bilgisayar Mühendisliği</t>
  </si>
  <si>
    <t>Barış Doruk BAŞARAN</t>
  </si>
  <si>
    <t>Berk ERCİN</t>
  </si>
  <si>
    <t>Erdinç TÜRK</t>
  </si>
  <si>
    <t>Manolya ATALAY</t>
  </si>
  <si>
    <t>Melih ÖZ</t>
  </si>
  <si>
    <t>Merve Işıl PETEN</t>
  </si>
  <si>
    <t>MIP</t>
  </si>
  <si>
    <t>Ozan OKTAY</t>
  </si>
  <si>
    <t>Ömer KURU</t>
  </si>
  <si>
    <t>Taha Yiğit ALKAN</t>
  </si>
  <si>
    <t>Yusuf ÇELİK</t>
  </si>
  <si>
    <t>Çevre Mühendisliği</t>
  </si>
  <si>
    <t>Ahmet Mustafa TEPE (DR)</t>
  </si>
  <si>
    <t>Aslı Nur RIZVANOĞLU</t>
  </si>
  <si>
    <t>Elektrik Elektronik Mühendisliği</t>
  </si>
  <si>
    <t>Atalay KOCAKUŞAK (DR)</t>
  </si>
  <si>
    <t>AK</t>
  </si>
  <si>
    <t>Kayhan ATEŞ (DR)</t>
  </si>
  <si>
    <t>Ayhan ŞAVKLIYILDIZ</t>
  </si>
  <si>
    <t>Betül ÜNAL</t>
  </si>
  <si>
    <t>Ceyhun ÇELEBİ</t>
  </si>
  <si>
    <t>Halil İbrahim AYTEKİN</t>
  </si>
  <si>
    <t>Mert ÇİFLİK</t>
  </si>
  <si>
    <t>Gıda Mühendisliği</t>
  </si>
  <si>
    <t>Gürcü Aybige ÇAKMAK (DR)</t>
  </si>
  <si>
    <t>Hatice Kübra KIZILAY</t>
  </si>
  <si>
    <t>Selin BAŞMAK</t>
  </si>
  <si>
    <t>Seranay AŞIK AYGÜN</t>
  </si>
  <si>
    <t>İnşaat Mühendisliği</t>
  </si>
  <si>
    <t>Dilayda SOYLU (DR)</t>
  </si>
  <si>
    <t>Elif Firuze ERDİL (DR)</t>
  </si>
  <si>
    <t>Aleyna YAZICIOĞLU</t>
  </si>
  <si>
    <t>Gökçen ARSLAN</t>
  </si>
  <si>
    <t>Hüseyin SÖĞÜT</t>
  </si>
  <si>
    <t>İbrahim YETİŞ</t>
  </si>
  <si>
    <t>Jeoloji Mühendisliği</t>
  </si>
  <si>
    <t>Alper GÜNEŞ (DR)</t>
  </si>
  <si>
    <t>Fatih UÇAR (DR)</t>
  </si>
  <si>
    <t>FU</t>
  </si>
  <si>
    <t>Koray KOÇ (DR)</t>
  </si>
  <si>
    <t>Özge ÖZER ATAKOĞLU</t>
  </si>
  <si>
    <t>Makine Mühendisliği</t>
  </si>
  <si>
    <t>İsmet Faruk YAKA (DR)</t>
  </si>
  <si>
    <t>Ali Kürşad ARICIOĞLU</t>
  </si>
  <si>
    <t>Nasuh ÖZDEMİR</t>
  </si>
  <si>
    <t>Nazife Nur ODABAŞI</t>
  </si>
  <si>
    <t>Biyomedikal Mühendisliği</t>
  </si>
  <si>
    <t>Hacer KUDUZ (DR)</t>
  </si>
  <si>
    <t>Malzeme Mühendisliği</t>
  </si>
  <si>
    <t>Cemal ASLAN (DR)</t>
  </si>
  <si>
    <t>Tunç Eren AKAY</t>
  </si>
  <si>
    <t>Arş.Gör.</t>
  </si>
  <si>
    <t>Arş.Gör.Dr.</t>
  </si>
  <si>
    <t>Hafta İçi</t>
  </si>
  <si>
    <t>Arş.Gör.Dr. DS</t>
  </si>
  <si>
    <t>Toplam</t>
  </si>
  <si>
    <t>Arş.Gör. T</t>
  </si>
  <si>
    <t>Olması Gereken</t>
  </si>
  <si>
    <t>OG-Bölüm</t>
  </si>
  <si>
    <t>Bilgisayar</t>
  </si>
  <si>
    <t>Çevre</t>
  </si>
  <si>
    <t>Elektrik-Elektronik</t>
  </si>
  <si>
    <t>Gıda</t>
  </si>
  <si>
    <t>İnşaat</t>
  </si>
  <si>
    <t>Jeoloji</t>
  </si>
  <si>
    <t>Makine</t>
  </si>
  <si>
    <t>Biyomedikal</t>
  </si>
  <si>
    <t>Malzeme</t>
  </si>
  <si>
    <t>Bölüm</t>
  </si>
  <si>
    <t>Ders Saati</t>
  </si>
  <si>
    <t>Görev sayısı</t>
  </si>
  <si>
    <t>Görev Verecek Bölümler</t>
  </si>
  <si>
    <t>Görev Alacak Bölümler</t>
  </si>
  <si>
    <t>BİL</t>
  </si>
  <si>
    <t>GIDA</t>
  </si>
  <si>
    <t>BİY</t>
  </si>
  <si>
    <t>MLZ</t>
  </si>
  <si>
    <t>BİY (HK)</t>
  </si>
  <si>
    <t>MLZ (CA)</t>
  </si>
  <si>
    <t>14.45
AG</t>
  </si>
  <si>
    <r>
      <rPr>
        <b/>
        <sz val="7"/>
        <color rgb="FF000000"/>
        <rFont val="Arial"/>
        <family val="2"/>
        <charset val="162"/>
      </rPr>
      <t>Ziraat Fak.</t>
    </r>
    <r>
      <rPr>
        <b/>
        <sz val="10"/>
        <color rgb="FF000000"/>
        <rFont val="Arial"/>
        <family val="2"/>
        <charset val="162"/>
      </rPr>
      <t xml:space="preserve">
HKK
GAÇ</t>
    </r>
  </si>
  <si>
    <r>
      <rPr>
        <b/>
        <sz val="7"/>
        <color rgb="FF000000"/>
        <rFont val="Arial"/>
        <family val="2"/>
        <charset val="162"/>
      </rPr>
      <t>Ziraat Fak.</t>
    </r>
    <r>
      <rPr>
        <b/>
        <sz val="10"/>
        <color rgb="FF000000"/>
        <rFont val="Arial"/>
        <family val="2"/>
        <charset val="162"/>
      </rPr>
      <t xml:space="preserve">
SAA
SB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</si>
</sst>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0.000000"/>
    <numFmt numFmtId="167" formatCode="0.00000"/>
    <numFmt numFmtId="168" formatCode="0.000"/>
  </numFmts>
  <fonts count="26" x14ac:knownFonts="1">
    <font>
      <sz val="11"/>
      <color rgb="FF000000"/>
      <name val="Aptos Narrow"/>
      <scheme val="minor"/>
    </font>
    <font>
      <sz val="8"/>
      <color rgb="FF000000"/>
      <name val="Arial"/>
      <family val="2"/>
    </font>
    <font>
      <sz val="11"/>
      <name val="Aptos Narrow"/>
      <family val="2"/>
    </font>
    <font>
      <sz val="8"/>
      <color theme="1"/>
      <name val="Arial"/>
      <family val="2"/>
    </font>
    <font>
      <sz val="8"/>
      <color rgb="FF000000"/>
      <name val="Aptos Narrow"/>
      <family val="2"/>
    </font>
    <font>
      <sz val="8"/>
      <color theme="1"/>
      <name val="Aptos Narrow"/>
      <family val="2"/>
    </font>
    <font>
      <b/>
      <sz val="8"/>
      <color rgb="FFFF0000"/>
      <name val="Arial"/>
      <family val="2"/>
    </font>
    <font>
      <sz val="8"/>
      <color theme="1"/>
      <name val="Calibri"/>
      <family val="2"/>
    </font>
    <font>
      <sz val="11"/>
      <color theme="1"/>
      <name val="Aptos Narrow"/>
      <family val="2"/>
      <charset val="162"/>
      <scheme val="minor"/>
    </font>
    <font>
      <b/>
      <sz val="10"/>
      <name val="Verdana"/>
      <family val="2"/>
      <charset val="162"/>
    </font>
    <font>
      <sz val="10"/>
      <name val="Verdana"/>
      <family val="2"/>
      <charset val="162"/>
    </font>
    <font>
      <sz val="10"/>
      <color rgb="FF000000"/>
      <name val="Arial"/>
      <family val="2"/>
      <charset val="162"/>
    </font>
    <font>
      <b/>
      <sz val="10"/>
      <color rgb="FF000000"/>
      <name val="Arial"/>
      <family val="2"/>
      <charset val="162"/>
    </font>
    <font>
      <b/>
      <sz val="10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rgb="FF002060"/>
      <name val="Arial"/>
      <family val="2"/>
      <charset val="162"/>
    </font>
    <font>
      <b/>
      <sz val="11"/>
      <color rgb="FF000000"/>
      <name val="Arial"/>
      <family val="2"/>
      <charset val="162"/>
    </font>
    <font>
      <b/>
      <sz val="10"/>
      <color rgb="FF000000"/>
      <name val="Aptos Narrow"/>
      <family val="2"/>
      <charset val="162"/>
    </font>
    <font>
      <b/>
      <sz val="7"/>
      <color rgb="FF000000"/>
      <name val="Arial"/>
      <family val="2"/>
      <charset val="162"/>
    </font>
    <font>
      <b/>
      <sz val="10"/>
      <name val="Aptos Narrow"/>
      <family val="2"/>
      <charset val="162"/>
    </font>
    <font>
      <b/>
      <sz val="10"/>
      <color rgb="FFFFFF00"/>
      <name val="Arial"/>
      <family val="2"/>
      <charset val="162"/>
    </font>
    <font>
      <b/>
      <sz val="10"/>
      <color theme="1"/>
      <name val="Aptos Narrow"/>
      <family val="2"/>
      <charset val="162"/>
    </font>
    <font>
      <b/>
      <sz val="10"/>
      <color rgb="FF000000"/>
      <name val="Aptos Narrow"/>
      <family val="2"/>
      <charset val="162"/>
      <scheme val="minor"/>
    </font>
    <font>
      <sz val="10"/>
      <color rgb="FFFFFF00"/>
      <name val="Arial"/>
      <family val="2"/>
      <charset val="162"/>
    </font>
    <font>
      <b/>
      <sz val="10"/>
      <color theme="0"/>
      <name val="Arial"/>
      <family val="2"/>
      <charset val="162"/>
    </font>
    <font>
      <sz val="10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9A57CD"/>
        <bgColor rgb="FF9A57CD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theme="5"/>
        <bgColor theme="5"/>
      </patternFill>
    </fill>
    <fill>
      <patternFill patternType="solid">
        <fgColor rgb="FF92D050"/>
        <bgColor rgb="FF92D050"/>
      </patternFill>
    </fill>
    <fill>
      <patternFill patternType="solid">
        <fgColor rgb="FF999999"/>
        <bgColor rgb="FF999999"/>
      </patternFill>
    </fill>
    <fill>
      <patternFill patternType="solid">
        <fgColor rgb="FFC1F0C8"/>
        <bgColor rgb="FFC1F0C8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E49EDD"/>
        <bgColor rgb="FFE49EDD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rgb="FFFFFF00"/>
      </patternFill>
    </fill>
    <fill>
      <patternFill patternType="solid">
        <fgColor theme="7" tint="0.39997558519241921"/>
        <bgColor rgb="FFFFFF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8" fillId="0" borderId="0"/>
  </cellStyleXfs>
  <cellXfs count="122">
    <xf numFmtId="0" fontId="0" fillId="0" borderId="0" xfId="0"/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9" fillId="0" borderId="1" xfId="1" applyFont="1" applyBorder="1" applyAlignment="1">
      <alignment horizontal="left" vertical="center"/>
    </xf>
    <xf numFmtId="0" fontId="9" fillId="0" borderId="1" xfId="1" applyFont="1" applyBorder="1" applyAlignment="1">
      <alignment horizontal="center" vertical="center"/>
    </xf>
    <xf numFmtId="0" fontId="10" fillId="0" borderId="0" xfId="1" applyFont="1"/>
    <xf numFmtId="0" fontId="10" fillId="0" borderId="1" xfId="1" applyFont="1" applyBorder="1" applyAlignment="1">
      <alignment horizontal="left" vertical="center"/>
    </xf>
    <xf numFmtId="0" fontId="10" fillId="17" borderId="1" xfId="1" applyFont="1" applyFill="1" applyBorder="1" applyAlignment="1">
      <alignment horizontal="left" vertical="center"/>
    </xf>
    <xf numFmtId="0" fontId="10" fillId="0" borderId="1" xfId="1" applyFont="1" applyBorder="1" applyAlignment="1">
      <alignment horizontal="center" vertical="center"/>
    </xf>
    <xf numFmtId="0" fontId="10" fillId="18" borderId="1" xfId="1" applyFont="1" applyFill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1" fillId="20" borderId="1" xfId="0" applyFont="1" applyFill="1" applyBorder="1" applyAlignment="1">
      <alignment horizontal="center" vertical="center"/>
    </xf>
    <xf numFmtId="0" fontId="11" fillId="20" borderId="1" xfId="0" applyFont="1" applyFill="1" applyBorder="1" applyAlignment="1">
      <alignment horizontal="left" vertical="center"/>
    </xf>
    <xf numFmtId="0" fontId="11" fillId="19" borderId="1" xfId="0" applyFont="1" applyFill="1" applyBorder="1" applyAlignment="1">
      <alignment horizontal="center" vertical="center"/>
    </xf>
    <xf numFmtId="2" fontId="11" fillId="18" borderId="1" xfId="0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21" borderId="1" xfId="0" applyFont="1" applyFill="1" applyBorder="1" applyAlignment="1">
      <alignment horizontal="center" vertical="center"/>
    </xf>
    <xf numFmtId="2" fontId="11" fillId="22" borderId="1" xfId="0" applyNumberFormat="1" applyFont="1" applyFill="1" applyBorder="1" applyAlignment="1">
      <alignment horizontal="center" vertical="center"/>
    </xf>
    <xf numFmtId="2" fontId="11" fillId="23" borderId="1" xfId="0" applyNumberFormat="1" applyFont="1" applyFill="1" applyBorder="1" applyAlignment="1">
      <alignment horizontal="center" vertical="center"/>
    </xf>
    <xf numFmtId="2" fontId="11" fillId="24" borderId="1" xfId="0" applyNumberFormat="1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2" fontId="11" fillId="25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2" fontId="11" fillId="24" borderId="2" xfId="0" applyNumberFormat="1" applyFont="1" applyFill="1" applyBorder="1" applyAlignment="1">
      <alignment horizontal="center" vertical="center"/>
    </xf>
    <xf numFmtId="2" fontId="15" fillId="26" borderId="3" xfId="0" applyNumberFormat="1" applyFont="1" applyFill="1" applyBorder="1" applyAlignment="1">
      <alignment horizontal="center" vertical="center"/>
    </xf>
    <xf numFmtId="165" fontId="11" fillId="27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left" vertical="center"/>
    </xf>
    <xf numFmtId="0" fontId="10" fillId="19" borderId="1" xfId="1" applyFont="1" applyFill="1" applyBorder="1" applyAlignment="1">
      <alignment horizontal="left" vertical="center"/>
    </xf>
    <xf numFmtId="2" fontId="11" fillId="19" borderId="1" xfId="0" applyNumberFormat="1" applyFont="1" applyFill="1" applyBorder="1" applyAlignment="1">
      <alignment horizontal="center" vertical="center"/>
    </xf>
    <xf numFmtId="2" fontId="16" fillId="28" borderId="1" xfId="0" applyNumberFormat="1" applyFont="1" applyFill="1" applyBorder="1" applyAlignment="1">
      <alignment horizontal="center" vertical="center"/>
    </xf>
    <xf numFmtId="167" fontId="11" fillId="28" borderId="1" xfId="0" applyNumberFormat="1" applyFont="1" applyFill="1" applyBorder="1" applyAlignment="1">
      <alignment horizontal="center" vertical="center"/>
    </xf>
    <xf numFmtId="167" fontId="11" fillId="24" borderId="1" xfId="0" applyNumberFormat="1" applyFont="1" applyFill="1" applyBorder="1" applyAlignment="1">
      <alignment horizontal="center" vertical="center"/>
    </xf>
    <xf numFmtId="0" fontId="11" fillId="25" borderId="1" xfId="0" applyFont="1" applyFill="1" applyBorder="1" applyAlignment="1">
      <alignment horizontal="center" vertical="center"/>
    </xf>
    <xf numFmtId="0" fontId="10" fillId="25" borderId="1" xfId="1" applyFont="1" applyFill="1" applyBorder="1" applyAlignment="1">
      <alignment horizontal="left" vertical="center"/>
    </xf>
    <xf numFmtId="2" fontId="11" fillId="25" borderId="1" xfId="0" applyNumberFormat="1" applyFont="1" applyFill="1" applyBorder="1" applyAlignment="1">
      <alignment horizontal="center" vertical="center"/>
    </xf>
    <xf numFmtId="2" fontId="11" fillId="29" borderId="1" xfId="0" applyNumberFormat="1" applyFont="1" applyFill="1" applyBorder="1" applyAlignment="1">
      <alignment horizontal="center" vertical="center"/>
    </xf>
    <xf numFmtId="0" fontId="12" fillId="30" borderId="1" xfId="0" applyFont="1" applyFill="1" applyBorder="1" applyAlignment="1">
      <alignment horizontal="center" vertical="center"/>
    </xf>
    <xf numFmtId="0" fontId="12" fillId="32" borderId="1" xfId="0" applyFont="1" applyFill="1" applyBorder="1" applyAlignment="1">
      <alignment horizontal="center" vertical="center"/>
    </xf>
    <xf numFmtId="0" fontId="12" fillId="31" borderId="1" xfId="0" applyFont="1" applyFill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 vertical="center"/>
    </xf>
    <xf numFmtId="2" fontId="11" fillId="23" borderId="5" xfId="0" applyNumberFormat="1" applyFont="1" applyFill="1" applyBorder="1" applyAlignment="1">
      <alignment horizontal="center" vertical="center"/>
    </xf>
    <xf numFmtId="168" fontId="11" fillId="0" borderId="0" xfId="0" applyNumberFormat="1" applyFont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 wrapText="1"/>
    </xf>
    <xf numFmtId="0" fontId="1" fillId="14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20" fillId="13" borderId="6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11" fillId="11" borderId="6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3" fillId="10" borderId="6" xfId="0" applyFont="1" applyFill="1" applyBorder="1" applyAlignment="1">
      <alignment horizontal="center" vertical="center" wrapText="1"/>
    </xf>
    <xf numFmtId="0" fontId="21" fillId="0" borderId="6" xfId="0" applyFont="1" applyBorder="1"/>
    <xf numFmtId="0" fontId="17" fillId="0" borderId="6" xfId="0" applyFont="1" applyBorder="1" applyAlignment="1">
      <alignment wrapText="1"/>
    </xf>
    <xf numFmtId="0" fontId="12" fillId="14" borderId="6" xfId="0" applyFont="1" applyFill="1" applyBorder="1" applyAlignment="1">
      <alignment horizontal="center" vertical="center" wrapText="1"/>
    </xf>
    <xf numFmtId="0" fontId="21" fillId="14" borderId="6" xfId="0" applyFont="1" applyFill="1" applyBorder="1" applyAlignment="1">
      <alignment wrapText="1"/>
    </xf>
    <xf numFmtId="0" fontId="12" fillId="15" borderId="6" xfId="0" applyFont="1" applyFill="1" applyBorder="1" applyAlignment="1">
      <alignment horizontal="center" vertical="center" wrapText="1"/>
    </xf>
    <xf numFmtId="0" fontId="22" fillId="0" borderId="6" xfId="0" applyFont="1" applyBorder="1"/>
    <xf numFmtId="0" fontId="12" fillId="3" borderId="6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17" fillId="16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7" fillId="0" borderId="6" xfId="0" applyFont="1" applyBorder="1"/>
    <xf numFmtId="0" fontId="12" fillId="0" borderId="6" xfId="0" applyFont="1" applyBorder="1" applyAlignment="1">
      <alignment horizontal="center" wrapText="1"/>
    </xf>
    <xf numFmtId="0" fontId="12" fillId="12" borderId="6" xfId="0" applyFont="1" applyFill="1" applyBorder="1" applyAlignment="1">
      <alignment horizontal="center" vertical="center" wrapText="1"/>
    </xf>
    <xf numFmtId="0" fontId="20" fillId="34" borderId="6" xfId="0" applyFont="1" applyFill="1" applyBorder="1" applyAlignment="1">
      <alignment horizontal="center" vertical="center" wrapText="1"/>
    </xf>
    <xf numFmtId="0" fontId="19" fillId="33" borderId="6" xfId="0" applyFont="1" applyFill="1" applyBorder="1"/>
    <xf numFmtId="0" fontId="20" fillId="13" borderId="6" xfId="0" applyFont="1" applyFill="1" applyBorder="1" applyAlignment="1">
      <alignment vertical="center" wrapText="1"/>
    </xf>
    <xf numFmtId="0" fontId="20" fillId="34" borderId="6" xfId="0" applyFont="1" applyFill="1" applyBorder="1" applyAlignment="1">
      <alignment vertical="center" wrapText="1"/>
    </xf>
    <xf numFmtId="0" fontId="23" fillId="34" borderId="6" xfId="0" applyFont="1" applyFill="1" applyBorder="1" applyAlignment="1">
      <alignment horizontal="center" vertical="center" wrapText="1"/>
    </xf>
    <xf numFmtId="0" fontId="23" fillId="34" borderId="6" xfId="0" applyFont="1" applyFill="1" applyBorder="1" applyAlignment="1">
      <alignment vertical="center" wrapText="1"/>
    </xf>
    <xf numFmtId="0" fontId="25" fillId="33" borderId="6" xfId="0" applyFont="1" applyFill="1" applyBorder="1"/>
    <xf numFmtId="0" fontId="12" fillId="4" borderId="6" xfId="0" applyFont="1" applyFill="1" applyBorder="1" applyAlignment="1">
      <alignment horizontal="center" vertical="center" wrapText="1"/>
    </xf>
    <xf numFmtId="0" fontId="19" fillId="0" borderId="6" xfId="0" applyFont="1" applyBorder="1"/>
    <xf numFmtId="0" fontId="12" fillId="9" borderId="6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1" fillId="0" borderId="6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20" fillId="13" borderId="6" xfId="0" applyFont="1" applyFill="1" applyBorder="1" applyAlignment="1">
      <alignment horizontal="center" vertical="center" wrapText="1"/>
    </xf>
    <xf numFmtId="0" fontId="19" fillId="33" borderId="6" xfId="0" applyFont="1" applyFill="1" applyBorder="1"/>
    <xf numFmtId="0" fontId="11" fillId="19" borderId="1" xfId="0" applyFont="1" applyFill="1" applyBorder="1" applyAlignment="1">
      <alignment horizontal="center" vertical="center"/>
    </xf>
    <xf numFmtId="0" fontId="12" fillId="30" borderId="1" xfId="0" applyFont="1" applyFill="1" applyBorder="1" applyAlignment="1">
      <alignment horizontal="center" vertical="center"/>
    </xf>
    <xf numFmtId="0" fontId="13" fillId="31" borderId="1" xfId="0" applyFont="1" applyFill="1" applyBorder="1" applyAlignment="1">
      <alignment horizontal="left" vertical="center" wrapText="1"/>
    </xf>
    <xf numFmtId="0" fontId="13" fillId="31" borderId="1" xfId="0" applyFont="1" applyFill="1" applyBorder="1" applyAlignment="1">
      <alignment horizontal="left" vertical="center"/>
    </xf>
    <xf numFmtId="0" fontId="11" fillId="25" borderId="1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009F1FE0-E7F2-40AB-A10E-5468957655E9}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D508-33F1-40B5-8341-C91418E1158D}">
  <sheetPr>
    <tabColor rgb="FF00B0F0"/>
  </sheetPr>
  <dimension ref="A1:C41"/>
  <sheetViews>
    <sheetView zoomScaleNormal="100" workbookViewId="0">
      <pane ySplit="1" topLeftCell="A2" activePane="bottomLeft" state="frozen"/>
      <selection pane="bottomLeft"/>
    </sheetView>
  </sheetViews>
  <sheetFormatPr defaultColWidth="9.1796875" defaultRowHeight="13.5" x14ac:dyDescent="0.3"/>
  <cols>
    <col min="1" max="1" width="43" style="13" bestFit="1" customWidth="1"/>
    <col min="2" max="2" width="33.26953125" style="13" bestFit="1" customWidth="1"/>
    <col min="3" max="3" width="11.1796875" style="14" bestFit="1" customWidth="1"/>
    <col min="4" max="16384" width="9.1796875" style="8"/>
  </cols>
  <sheetData>
    <row r="1" spans="1:3" ht="20.149999999999999" customHeight="1" x14ac:dyDescent="0.3">
      <c r="A1" s="6" t="s">
        <v>150</v>
      </c>
      <c r="B1" s="6" t="s">
        <v>151</v>
      </c>
      <c r="C1" s="7" t="s">
        <v>152</v>
      </c>
    </row>
    <row r="2" spans="1:3" ht="20.149999999999999" customHeight="1" x14ac:dyDescent="0.3">
      <c r="A2" s="9" t="s">
        <v>153</v>
      </c>
      <c r="B2" s="10" t="s">
        <v>154</v>
      </c>
      <c r="C2" s="11" t="s">
        <v>46</v>
      </c>
    </row>
    <row r="3" spans="1:3" ht="20.149999999999999" customHeight="1" x14ac:dyDescent="0.3">
      <c r="A3" s="9" t="s">
        <v>153</v>
      </c>
      <c r="B3" s="10" t="s">
        <v>155</v>
      </c>
      <c r="C3" s="11" t="s">
        <v>54</v>
      </c>
    </row>
    <row r="4" spans="1:3" ht="20.149999999999999" customHeight="1" x14ac:dyDescent="0.3">
      <c r="A4" s="9" t="s">
        <v>153</v>
      </c>
      <c r="B4" s="10" t="s">
        <v>156</v>
      </c>
      <c r="C4" s="11" t="s">
        <v>64</v>
      </c>
    </row>
    <row r="5" spans="1:3" ht="20.149999999999999" customHeight="1" x14ac:dyDescent="0.3">
      <c r="A5" s="9" t="s">
        <v>153</v>
      </c>
      <c r="B5" s="10" t="s">
        <v>157</v>
      </c>
      <c r="C5" s="11" t="s">
        <v>41</v>
      </c>
    </row>
    <row r="6" spans="1:3" ht="20.149999999999999" customHeight="1" x14ac:dyDescent="0.3">
      <c r="A6" s="9" t="s">
        <v>153</v>
      </c>
      <c r="B6" s="10" t="s">
        <v>158</v>
      </c>
      <c r="C6" s="11" t="s">
        <v>71</v>
      </c>
    </row>
    <row r="7" spans="1:3" ht="20.149999999999999" customHeight="1" x14ac:dyDescent="0.3">
      <c r="A7" s="9" t="s">
        <v>153</v>
      </c>
      <c r="B7" s="10" t="s">
        <v>159</v>
      </c>
      <c r="C7" s="11" t="s">
        <v>160</v>
      </c>
    </row>
    <row r="8" spans="1:3" ht="20.149999999999999" customHeight="1" x14ac:dyDescent="0.3">
      <c r="A8" s="9" t="s">
        <v>153</v>
      </c>
      <c r="B8" s="10" t="s">
        <v>161</v>
      </c>
      <c r="C8" s="11" t="s">
        <v>76</v>
      </c>
    </row>
    <row r="9" spans="1:3" ht="20.149999999999999" customHeight="1" x14ac:dyDescent="0.3">
      <c r="A9" s="9" t="s">
        <v>153</v>
      </c>
      <c r="B9" s="10" t="s">
        <v>162</v>
      </c>
      <c r="C9" s="11" t="s">
        <v>59</v>
      </c>
    </row>
    <row r="10" spans="1:3" ht="20.149999999999999" customHeight="1" x14ac:dyDescent="0.3">
      <c r="A10" s="9" t="s">
        <v>153</v>
      </c>
      <c r="B10" s="10" t="s">
        <v>163</v>
      </c>
      <c r="C10" s="11" t="s">
        <v>77</v>
      </c>
    </row>
    <row r="11" spans="1:3" ht="20.149999999999999" customHeight="1" x14ac:dyDescent="0.3">
      <c r="A11" s="9" t="s">
        <v>153</v>
      </c>
      <c r="B11" s="10" t="s">
        <v>164</v>
      </c>
      <c r="C11" s="11" t="s">
        <v>47</v>
      </c>
    </row>
    <row r="12" spans="1:3" ht="20.149999999999999" customHeight="1" x14ac:dyDescent="0.3">
      <c r="A12" s="9" t="s">
        <v>165</v>
      </c>
      <c r="B12" s="12" t="s">
        <v>166</v>
      </c>
      <c r="C12" s="11" t="s">
        <v>75</v>
      </c>
    </row>
    <row r="13" spans="1:3" ht="20.149999999999999" customHeight="1" x14ac:dyDescent="0.3">
      <c r="A13" s="9" t="s">
        <v>165</v>
      </c>
      <c r="B13" s="10" t="s">
        <v>167</v>
      </c>
      <c r="C13" s="11" t="s">
        <v>50</v>
      </c>
    </row>
    <row r="14" spans="1:3" ht="20.149999999999999" customHeight="1" x14ac:dyDescent="0.3">
      <c r="A14" s="9" t="s">
        <v>168</v>
      </c>
      <c r="B14" s="12" t="s">
        <v>169</v>
      </c>
      <c r="C14" s="11" t="s">
        <v>170</v>
      </c>
    </row>
    <row r="15" spans="1:3" ht="20.149999999999999" customHeight="1" x14ac:dyDescent="0.3">
      <c r="A15" s="9" t="s">
        <v>168</v>
      </c>
      <c r="B15" s="12" t="s">
        <v>171</v>
      </c>
      <c r="C15" s="11" t="s">
        <v>98</v>
      </c>
    </row>
    <row r="16" spans="1:3" ht="20.149999999999999" customHeight="1" x14ac:dyDescent="0.3">
      <c r="A16" s="9" t="s">
        <v>168</v>
      </c>
      <c r="B16" s="10" t="s">
        <v>172</v>
      </c>
      <c r="C16" s="11" t="s">
        <v>69</v>
      </c>
    </row>
    <row r="17" spans="1:3" ht="20.149999999999999" customHeight="1" x14ac:dyDescent="0.3">
      <c r="A17" s="9" t="s">
        <v>168</v>
      </c>
      <c r="B17" s="10" t="s">
        <v>173</v>
      </c>
      <c r="C17" s="11" t="s">
        <v>60</v>
      </c>
    </row>
    <row r="18" spans="1:3" ht="20.149999999999999" customHeight="1" x14ac:dyDescent="0.3">
      <c r="A18" s="9" t="s">
        <v>168</v>
      </c>
      <c r="B18" s="10" t="s">
        <v>174</v>
      </c>
      <c r="C18" s="11" t="s">
        <v>70</v>
      </c>
    </row>
    <row r="19" spans="1:3" ht="20.149999999999999" customHeight="1" x14ac:dyDescent="0.3">
      <c r="A19" s="9" t="s">
        <v>168</v>
      </c>
      <c r="B19" s="10" t="s">
        <v>175</v>
      </c>
      <c r="C19" s="11" t="s">
        <v>63</v>
      </c>
    </row>
    <row r="20" spans="1:3" ht="20.149999999999999" customHeight="1" x14ac:dyDescent="0.3">
      <c r="A20" s="9" t="s">
        <v>168</v>
      </c>
      <c r="B20" s="10" t="s">
        <v>176</v>
      </c>
      <c r="C20" s="11" t="s">
        <v>62</v>
      </c>
    </row>
    <row r="21" spans="1:3" ht="20.149999999999999" customHeight="1" x14ac:dyDescent="0.3">
      <c r="A21" s="9" t="s">
        <v>177</v>
      </c>
      <c r="B21" s="12" t="s">
        <v>178</v>
      </c>
      <c r="C21" s="11" t="s">
        <v>53</v>
      </c>
    </row>
    <row r="22" spans="1:3" ht="20.149999999999999" customHeight="1" x14ac:dyDescent="0.3">
      <c r="A22" s="9" t="s">
        <v>177</v>
      </c>
      <c r="B22" s="10" t="s">
        <v>179</v>
      </c>
      <c r="C22" s="11" t="s">
        <v>42</v>
      </c>
    </row>
    <row r="23" spans="1:3" ht="20.149999999999999" customHeight="1" x14ac:dyDescent="0.3">
      <c r="A23" s="9" t="s">
        <v>177</v>
      </c>
      <c r="B23" s="10" t="s">
        <v>180</v>
      </c>
      <c r="C23" s="11" t="s">
        <v>52</v>
      </c>
    </row>
    <row r="24" spans="1:3" ht="20.149999999999999" customHeight="1" x14ac:dyDescent="0.3">
      <c r="A24" s="9" t="s">
        <v>177</v>
      </c>
      <c r="B24" s="10" t="s">
        <v>181</v>
      </c>
      <c r="C24" s="11" t="s">
        <v>83</v>
      </c>
    </row>
    <row r="25" spans="1:3" ht="20.149999999999999" customHeight="1" x14ac:dyDescent="0.3">
      <c r="A25" s="9" t="s">
        <v>182</v>
      </c>
      <c r="B25" s="12" t="s">
        <v>183</v>
      </c>
      <c r="C25" s="11" t="s">
        <v>79</v>
      </c>
    </row>
    <row r="26" spans="1:3" ht="20.149999999999999" customHeight="1" x14ac:dyDescent="0.3">
      <c r="A26" s="9" t="s">
        <v>182</v>
      </c>
      <c r="B26" s="12" t="s">
        <v>184</v>
      </c>
      <c r="C26" s="11" t="s">
        <v>66</v>
      </c>
    </row>
    <row r="27" spans="1:3" ht="20.149999999999999" customHeight="1" x14ac:dyDescent="0.3">
      <c r="A27" s="9" t="s">
        <v>182</v>
      </c>
      <c r="B27" s="10" t="s">
        <v>185</v>
      </c>
      <c r="C27" s="11" t="s">
        <v>43</v>
      </c>
    </row>
    <row r="28" spans="1:3" ht="20.149999999999999" customHeight="1" x14ac:dyDescent="0.3">
      <c r="A28" s="9" t="s">
        <v>182</v>
      </c>
      <c r="B28" s="10" t="s">
        <v>186</v>
      </c>
      <c r="C28" s="11" t="s">
        <v>45</v>
      </c>
    </row>
    <row r="29" spans="1:3" ht="20.149999999999999" customHeight="1" x14ac:dyDescent="0.3">
      <c r="A29" s="9" t="s">
        <v>182</v>
      </c>
      <c r="B29" s="10" t="s">
        <v>187</v>
      </c>
      <c r="C29" s="11" t="s">
        <v>65</v>
      </c>
    </row>
    <row r="30" spans="1:3" ht="20.149999999999999" customHeight="1" x14ac:dyDescent="0.3">
      <c r="A30" s="9" t="s">
        <v>182</v>
      </c>
      <c r="B30" s="10" t="s">
        <v>188</v>
      </c>
      <c r="C30" s="11" t="s">
        <v>90</v>
      </c>
    </row>
    <row r="31" spans="1:3" ht="20.149999999999999" customHeight="1" x14ac:dyDescent="0.3">
      <c r="A31" s="9" t="s">
        <v>189</v>
      </c>
      <c r="B31" s="12" t="s">
        <v>190</v>
      </c>
      <c r="C31" s="11" t="s">
        <v>80</v>
      </c>
    </row>
    <row r="32" spans="1:3" ht="20.149999999999999" customHeight="1" x14ac:dyDescent="0.3">
      <c r="A32" s="9" t="s">
        <v>189</v>
      </c>
      <c r="B32" s="12" t="s">
        <v>191</v>
      </c>
      <c r="C32" s="11" t="s">
        <v>192</v>
      </c>
    </row>
    <row r="33" spans="1:3" ht="20.149999999999999" customHeight="1" x14ac:dyDescent="0.3">
      <c r="A33" s="9" t="s">
        <v>189</v>
      </c>
      <c r="B33" s="12" t="s">
        <v>193</v>
      </c>
      <c r="C33" s="11" t="s">
        <v>51</v>
      </c>
    </row>
    <row r="34" spans="1:3" ht="20.149999999999999" customHeight="1" x14ac:dyDescent="0.3">
      <c r="A34" s="9" t="s">
        <v>189</v>
      </c>
      <c r="B34" s="10" t="s">
        <v>194</v>
      </c>
      <c r="C34" s="11" t="s">
        <v>93</v>
      </c>
    </row>
    <row r="35" spans="1:3" ht="20.149999999999999" customHeight="1" x14ac:dyDescent="0.3">
      <c r="A35" s="9" t="s">
        <v>195</v>
      </c>
      <c r="B35" s="12" t="s">
        <v>196</v>
      </c>
      <c r="C35" s="11" t="s">
        <v>44</v>
      </c>
    </row>
    <row r="36" spans="1:3" ht="20.149999999999999" customHeight="1" x14ac:dyDescent="0.3">
      <c r="A36" s="9" t="s">
        <v>195</v>
      </c>
      <c r="B36" s="10" t="s">
        <v>197</v>
      </c>
      <c r="C36" s="11" t="s">
        <v>82</v>
      </c>
    </row>
    <row r="37" spans="1:3" ht="20.149999999999999" customHeight="1" x14ac:dyDescent="0.3">
      <c r="A37" s="9" t="s">
        <v>195</v>
      </c>
      <c r="B37" s="10" t="s">
        <v>198</v>
      </c>
      <c r="C37" s="11" t="s">
        <v>89</v>
      </c>
    </row>
    <row r="38" spans="1:3" ht="20.149999999999999" customHeight="1" x14ac:dyDescent="0.3">
      <c r="A38" s="9" t="s">
        <v>195</v>
      </c>
      <c r="B38" s="10" t="s">
        <v>199</v>
      </c>
      <c r="C38" s="11" t="s">
        <v>81</v>
      </c>
    </row>
    <row r="39" spans="1:3" ht="20.149999999999999" customHeight="1" x14ac:dyDescent="0.3">
      <c r="A39" s="9" t="s">
        <v>200</v>
      </c>
      <c r="B39" s="12" t="s">
        <v>201</v>
      </c>
      <c r="C39" s="11" t="s">
        <v>85</v>
      </c>
    </row>
    <row r="40" spans="1:3" ht="20.149999999999999" customHeight="1" x14ac:dyDescent="0.3">
      <c r="A40" s="9" t="s">
        <v>202</v>
      </c>
      <c r="B40" s="12" t="s">
        <v>203</v>
      </c>
      <c r="C40" s="11" t="s">
        <v>40</v>
      </c>
    </row>
    <row r="41" spans="1:3" ht="20.149999999999999" customHeight="1" x14ac:dyDescent="0.3">
      <c r="A41" s="9" t="s">
        <v>202</v>
      </c>
      <c r="B41" s="10" t="s">
        <v>204</v>
      </c>
      <c r="C41" s="11" t="s">
        <v>61</v>
      </c>
    </row>
  </sheetData>
  <autoFilter ref="A1:C41" xr:uid="{8992A3FD-2A32-4307-AFB7-E23534BB0FA9}"/>
  <conditionalFormatting sqref="C1:C1048576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80000"/>
    <outlinePr summaryBelow="0" summaryRight="0"/>
  </sheetPr>
  <dimension ref="A1:AM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8" sqref="F18"/>
    </sheetView>
  </sheetViews>
  <sheetFormatPr defaultColWidth="12.54296875" defaultRowHeight="15" customHeight="1" x14ac:dyDescent="0.35"/>
  <cols>
    <col min="1" max="1" width="11.7265625" customWidth="1"/>
    <col min="2" max="2" width="9.7265625" customWidth="1"/>
    <col min="3" max="38" width="8.7265625" customWidth="1"/>
    <col min="39" max="39" width="9.7265625" customWidth="1"/>
  </cols>
  <sheetData>
    <row r="1" spans="1:39" ht="20" x14ac:dyDescent="0.35">
      <c r="A1" s="58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8</v>
      </c>
      <c r="J1" s="60" t="s">
        <v>9</v>
      </c>
      <c r="K1" s="61" t="s">
        <v>10</v>
      </c>
      <c r="L1" s="61" t="s">
        <v>11</v>
      </c>
      <c r="M1" s="62" t="s">
        <v>12</v>
      </c>
      <c r="N1" s="61" t="s">
        <v>13</v>
      </c>
      <c r="O1" s="59" t="s">
        <v>14</v>
      </c>
      <c r="P1" s="60" t="s">
        <v>15</v>
      </c>
      <c r="Q1" s="60" t="s">
        <v>16</v>
      </c>
      <c r="R1" s="63" t="s">
        <v>17</v>
      </c>
      <c r="S1" s="62" t="s">
        <v>18</v>
      </c>
      <c r="T1" s="59" t="s">
        <v>19</v>
      </c>
      <c r="U1" s="63" t="s">
        <v>20</v>
      </c>
      <c r="V1" s="64" t="s">
        <v>21</v>
      </c>
      <c r="W1" s="62" t="s">
        <v>22</v>
      </c>
      <c r="X1" s="65" t="s">
        <v>23</v>
      </c>
      <c r="Y1" s="64" t="s">
        <v>24</v>
      </c>
      <c r="Z1" s="65" t="s">
        <v>25</v>
      </c>
      <c r="AA1" s="65" t="s">
        <v>26</v>
      </c>
      <c r="AB1" s="64" t="s">
        <v>27</v>
      </c>
      <c r="AC1" s="66" t="s">
        <v>28</v>
      </c>
      <c r="AD1" s="66" t="s">
        <v>29</v>
      </c>
      <c r="AE1" s="59" t="s">
        <v>30</v>
      </c>
      <c r="AF1" s="59" t="s">
        <v>31</v>
      </c>
      <c r="AG1" s="66" t="s">
        <v>32</v>
      </c>
      <c r="AH1" s="59" t="s">
        <v>33</v>
      </c>
      <c r="AI1" s="59" t="s">
        <v>34</v>
      </c>
      <c r="AJ1" s="67" t="s">
        <v>35</v>
      </c>
      <c r="AK1" s="67" t="s">
        <v>36</v>
      </c>
      <c r="AL1" s="67" t="s">
        <v>37</v>
      </c>
      <c r="AM1" s="59" t="s">
        <v>1</v>
      </c>
    </row>
    <row r="2" spans="1:39" ht="19.5" customHeight="1" x14ac:dyDescent="0.35">
      <c r="A2" s="110" t="s">
        <v>38</v>
      </c>
      <c r="B2" s="68" t="s">
        <v>39</v>
      </c>
      <c r="C2" s="73"/>
      <c r="D2" s="73"/>
      <c r="E2" s="105" t="s">
        <v>107</v>
      </c>
      <c r="F2" s="73"/>
      <c r="G2" s="105" t="s">
        <v>108</v>
      </c>
      <c r="H2" s="105" t="s">
        <v>109</v>
      </c>
      <c r="I2" s="73"/>
      <c r="J2" s="97"/>
      <c r="K2" s="73"/>
      <c r="L2" s="73"/>
      <c r="M2" s="73"/>
      <c r="N2" s="73"/>
      <c r="O2" s="101" t="s">
        <v>40</v>
      </c>
      <c r="P2" s="101" t="s">
        <v>41</v>
      </c>
      <c r="Q2" s="101" t="s">
        <v>42</v>
      </c>
      <c r="R2" s="73"/>
      <c r="S2" s="104" t="s">
        <v>43</v>
      </c>
      <c r="T2" s="73"/>
      <c r="U2" s="73"/>
      <c r="V2" s="108" t="s">
        <v>44</v>
      </c>
      <c r="W2" s="104" t="s">
        <v>45</v>
      </c>
      <c r="X2" s="96"/>
      <c r="Y2" s="73"/>
      <c r="Z2" s="73"/>
      <c r="AA2" s="73"/>
      <c r="AB2" s="73"/>
      <c r="AC2" s="105" t="s">
        <v>46</v>
      </c>
      <c r="AD2" s="105" t="s">
        <v>47</v>
      </c>
      <c r="AE2" s="73"/>
      <c r="AF2" s="73"/>
      <c r="AG2" s="73"/>
      <c r="AH2" s="96"/>
      <c r="AI2" s="73"/>
      <c r="AJ2" s="77"/>
      <c r="AK2" s="77"/>
      <c r="AL2" s="78"/>
      <c r="AM2" s="68" t="s">
        <v>39</v>
      </c>
    </row>
    <row r="3" spans="1:39" ht="19.5" customHeight="1" x14ac:dyDescent="0.35">
      <c r="A3" s="111"/>
      <c r="B3" s="68" t="s">
        <v>48</v>
      </c>
      <c r="C3" s="73"/>
      <c r="D3" s="73"/>
      <c r="E3" s="102"/>
      <c r="F3" s="96"/>
      <c r="G3" s="102"/>
      <c r="H3" s="102"/>
      <c r="I3" s="73"/>
      <c r="J3" s="95"/>
      <c r="K3" s="73"/>
      <c r="L3" s="73"/>
      <c r="M3" s="96"/>
      <c r="N3" s="96"/>
      <c r="O3" s="102"/>
      <c r="P3" s="102"/>
      <c r="Q3" s="102"/>
      <c r="R3" s="73"/>
      <c r="S3" s="102"/>
      <c r="T3" s="73"/>
      <c r="U3" s="96"/>
      <c r="V3" s="102"/>
      <c r="W3" s="102"/>
      <c r="X3" s="95"/>
      <c r="Y3" s="73"/>
      <c r="Z3" s="96"/>
      <c r="AA3" s="73"/>
      <c r="AB3" s="73"/>
      <c r="AC3" s="102"/>
      <c r="AD3" s="102"/>
      <c r="AE3" s="73"/>
      <c r="AF3" s="73"/>
      <c r="AG3" s="73"/>
      <c r="AH3" s="95"/>
      <c r="AI3" s="73"/>
      <c r="AJ3" s="77"/>
      <c r="AK3" s="77"/>
      <c r="AL3" s="78"/>
      <c r="AM3" s="68" t="s">
        <v>48</v>
      </c>
    </row>
    <row r="4" spans="1:39" ht="19.5" customHeight="1" x14ac:dyDescent="0.35">
      <c r="A4" s="111"/>
      <c r="B4" s="68" t="s">
        <v>49</v>
      </c>
      <c r="C4" s="73"/>
      <c r="D4" s="73"/>
      <c r="E4" s="108" t="s">
        <v>110</v>
      </c>
      <c r="F4" s="95"/>
      <c r="G4" s="108" t="s">
        <v>111</v>
      </c>
      <c r="H4" s="73"/>
      <c r="I4" s="108" t="s">
        <v>41</v>
      </c>
      <c r="J4" s="97"/>
      <c r="K4" s="73"/>
      <c r="L4" s="106" t="s">
        <v>50</v>
      </c>
      <c r="M4" s="95"/>
      <c r="N4" s="95"/>
      <c r="O4" s="107" t="s">
        <v>51</v>
      </c>
      <c r="P4" s="101" t="s">
        <v>52</v>
      </c>
      <c r="Q4" s="101" t="s">
        <v>53</v>
      </c>
      <c r="R4" s="73"/>
      <c r="S4" s="73"/>
      <c r="T4" s="73"/>
      <c r="U4" s="95"/>
      <c r="V4" s="73"/>
      <c r="W4" s="96"/>
      <c r="X4" s="95"/>
      <c r="Y4" s="73"/>
      <c r="Z4" s="95"/>
      <c r="AA4" s="73"/>
      <c r="AB4" s="73"/>
      <c r="AC4" s="80" t="s">
        <v>54</v>
      </c>
      <c r="AD4" s="105" t="s">
        <v>46</v>
      </c>
      <c r="AE4" s="73"/>
      <c r="AF4" s="96"/>
      <c r="AG4" s="81"/>
      <c r="AH4" s="95"/>
      <c r="AI4" s="73"/>
      <c r="AJ4" s="77"/>
      <c r="AK4" s="77"/>
      <c r="AL4" s="78"/>
      <c r="AM4" s="68" t="s">
        <v>49</v>
      </c>
    </row>
    <row r="5" spans="1:39" ht="19.5" customHeight="1" x14ac:dyDescent="0.35">
      <c r="A5" s="111"/>
      <c r="B5" s="68" t="s">
        <v>55</v>
      </c>
      <c r="C5" s="73"/>
      <c r="D5" s="82"/>
      <c r="E5" s="102"/>
      <c r="F5" s="95"/>
      <c r="G5" s="102"/>
      <c r="H5" s="73"/>
      <c r="I5" s="102"/>
      <c r="J5" s="95"/>
      <c r="K5" s="73"/>
      <c r="L5" s="102"/>
      <c r="M5" s="95"/>
      <c r="N5" s="95"/>
      <c r="O5" s="102"/>
      <c r="P5" s="102"/>
      <c r="Q5" s="102"/>
      <c r="R5" s="73"/>
      <c r="S5" s="73"/>
      <c r="T5" s="73"/>
      <c r="U5" s="95"/>
      <c r="V5" s="73"/>
      <c r="W5" s="95"/>
      <c r="X5" s="95"/>
      <c r="Y5" s="73"/>
      <c r="Z5" s="95"/>
      <c r="AA5" s="73"/>
      <c r="AB5" s="73"/>
      <c r="AC5" s="73"/>
      <c r="AD5" s="102"/>
      <c r="AE5" s="73"/>
      <c r="AF5" s="95"/>
      <c r="AG5" s="81"/>
      <c r="AH5" s="95"/>
      <c r="AI5" s="73"/>
      <c r="AJ5" s="77"/>
      <c r="AK5" s="77"/>
      <c r="AL5" s="78"/>
      <c r="AM5" s="68" t="s">
        <v>55</v>
      </c>
    </row>
    <row r="6" spans="1:39" ht="19.5" customHeight="1" x14ac:dyDescent="0.35">
      <c r="A6" s="111"/>
      <c r="B6" s="69" t="s">
        <v>56</v>
      </c>
      <c r="C6" s="83"/>
      <c r="D6" s="83"/>
      <c r="E6" s="84"/>
      <c r="F6" s="83"/>
      <c r="G6" s="83"/>
      <c r="H6" s="83"/>
      <c r="I6" s="83"/>
      <c r="J6" s="83"/>
      <c r="K6" s="84"/>
      <c r="L6" s="84"/>
      <c r="M6" s="84"/>
      <c r="N6" s="84"/>
      <c r="O6" s="83"/>
      <c r="P6" s="83"/>
      <c r="Q6" s="83"/>
      <c r="R6" s="84"/>
      <c r="S6" s="84"/>
      <c r="T6" s="83"/>
      <c r="U6" s="84"/>
      <c r="V6" s="84"/>
      <c r="W6" s="84"/>
      <c r="X6" s="83"/>
      <c r="Y6" s="84"/>
      <c r="Z6" s="84"/>
      <c r="AA6" s="84"/>
      <c r="AB6" s="83"/>
      <c r="AC6" s="84"/>
      <c r="AD6" s="83"/>
      <c r="AE6" s="83"/>
      <c r="AF6" s="83"/>
      <c r="AG6" s="84"/>
      <c r="AH6" s="84"/>
      <c r="AI6" s="83"/>
      <c r="AJ6" s="77"/>
      <c r="AK6" s="77"/>
      <c r="AL6" s="78"/>
      <c r="AM6" s="69" t="s">
        <v>57</v>
      </c>
    </row>
    <row r="7" spans="1:39" ht="19.5" customHeight="1" x14ac:dyDescent="0.35">
      <c r="A7" s="111"/>
      <c r="B7" s="68" t="s">
        <v>58</v>
      </c>
      <c r="C7" s="96"/>
      <c r="D7" s="73"/>
      <c r="E7" s="96"/>
      <c r="F7" s="108" t="s">
        <v>112</v>
      </c>
      <c r="G7" s="108" t="s">
        <v>113</v>
      </c>
      <c r="H7" s="103" t="s">
        <v>59</v>
      </c>
      <c r="I7" s="103" t="s">
        <v>47</v>
      </c>
      <c r="J7" s="97"/>
      <c r="K7" s="106" t="s">
        <v>50</v>
      </c>
      <c r="L7" s="96"/>
      <c r="M7" s="73"/>
      <c r="N7" s="96"/>
      <c r="O7" s="107" t="s">
        <v>51</v>
      </c>
      <c r="P7" s="97"/>
      <c r="Q7" s="101" t="s">
        <v>52</v>
      </c>
      <c r="R7" s="96"/>
      <c r="S7" s="73"/>
      <c r="T7" s="103" t="s">
        <v>60</v>
      </c>
      <c r="U7" s="103" t="s">
        <v>61</v>
      </c>
      <c r="V7" s="73"/>
      <c r="W7" s="96"/>
      <c r="X7" s="103" t="s">
        <v>62</v>
      </c>
      <c r="Y7" s="96"/>
      <c r="Z7" s="73"/>
      <c r="AA7" s="103" t="s">
        <v>63</v>
      </c>
      <c r="AB7" s="96"/>
      <c r="AC7" s="105" t="s">
        <v>64</v>
      </c>
      <c r="AD7" s="96"/>
      <c r="AE7" s="81"/>
      <c r="AF7" s="81"/>
      <c r="AG7" s="81"/>
      <c r="AH7" s="74" t="s">
        <v>65</v>
      </c>
      <c r="AI7" s="74" t="s">
        <v>66</v>
      </c>
      <c r="AJ7" s="77"/>
      <c r="AK7" s="77"/>
      <c r="AL7" s="78"/>
      <c r="AM7" s="68" t="s">
        <v>58</v>
      </c>
    </row>
    <row r="8" spans="1:39" ht="19.5" customHeight="1" x14ac:dyDescent="0.35">
      <c r="A8" s="111"/>
      <c r="B8" s="68" t="s">
        <v>67</v>
      </c>
      <c r="C8" s="95"/>
      <c r="D8" s="73"/>
      <c r="E8" s="95"/>
      <c r="F8" s="102"/>
      <c r="G8" s="102"/>
      <c r="H8" s="102"/>
      <c r="I8" s="102"/>
      <c r="J8" s="95"/>
      <c r="K8" s="102"/>
      <c r="L8" s="95"/>
      <c r="M8" s="96"/>
      <c r="N8" s="95"/>
      <c r="O8" s="102"/>
      <c r="P8" s="95"/>
      <c r="Q8" s="102"/>
      <c r="R8" s="95"/>
      <c r="S8" s="73"/>
      <c r="T8" s="102"/>
      <c r="U8" s="102"/>
      <c r="V8" s="73"/>
      <c r="W8" s="95"/>
      <c r="X8" s="102"/>
      <c r="Y8" s="95"/>
      <c r="Z8" s="96"/>
      <c r="AA8" s="102"/>
      <c r="AB8" s="95"/>
      <c r="AC8" s="102"/>
      <c r="AD8" s="95"/>
      <c r="AE8" s="81"/>
      <c r="AF8" s="81"/>
      <c r="AG8" s="81"/>
      <c r="AH8" s="73"/>
      <c r="AI8" s="73"/>
      <c r="AJ8" s="77"/>
      <c r="AK8" s="77"/>
      <c r="AL8" s="78"/>
      <c r="AM8" s="68" t="s">
        <v>67</v>
      </c>
    </row>
    <row r="9" spans="1:39" ht="19.5" customHeight="1" x14ac:dyDescent="0.35">
      <c r="A9" s="111"/>
      <c r="B9" s="68" t="s">
        <v>68</v>
      </c>
      <c r="C9" s="95"/>
      <c r="D9" s="81"/>
      <c r="E9" s="96"/>
      <c r="F9" s="73"/>
      <c r="G9" s="73"/>
      <c r="H9" s="73"/>
      <c r="I9" s="73"/>
      <c r="J9" s="73"/>
      <c r="K9" s="73"/>
      <c r="L9" s="95"/>
      <c r="M9" s="95"/>
      <c r="N9" s="95"/>
      <c r="O9" s="73"/>
      <c r="P9" s="73"/>
      <c r="Q9" s="101" t="s">
        <v>42</v>
      </c>
      <c r="R9" s="95"/>
      <c r="S9" s="103" t="s">
        <v>69</v>
      </c>
      <c r="T9" s="103" t="s">
        <v>60</v>
      </c>
      <c r="U9" s="103" t="s">
        <v>70</v>
      </c>
      <c r="V9" s="96"/>
      <c r="W9" s="85"/>
      <c r="X9" s="96"/>
      <c r="Y9" s="95"/>
      <c r="Z9" s="95"/>
      <c r="AA9" s="103" t="s">
        <v>63</v>
      </c>
      <c r="AB9" s="73"/>
      <c r="AC9" s="96"/>
      <c r="AD9" s="105" t="s">
        <v>71</v>
      </c>
      <c r="AE9" s="73"/>
      <c r="AF9" s="73"/>
      <c r="AG9" s="73"/>
      <c r="AH9" s="105" t="s">
        <v>59</v>
      </c>
      <c r="AI9" s="73"/>
      <c r="AJ9" s="77"/>
      <c r="AK9" s="77"/>
      <c r="AL9" s="78"/>
      <c r="AM9" s="68" t="s">
        <v>68</v>
      </c>
    </row>
    <row r="10" spans="1:39" ht="19.5" customHeight="1" x14ac:dyDescent="0.35">
      <c r="A10" s="111"/>
      <c r="B10" s="68" t="s">
        <v>72</v>
      </c>
      <c r="C10" s="73"/>
      <c r="D10" s="81"/>
      <c r="E10" s="95"/>
      <c r="F10" s="73"/>
      <c r="G10" s="73"/>
      <c r="H10" s="73"/>
      <c r="I10" s="73"/>
      <c r="J10" s="86"/>
      <c r="K10" s="73"/>
      <c r="L10" s="95"/>
      <c r="M10" s="95"/>
      <c r="N10" s="73"/>
      <c r="O10" s="73"/>
      <c r="P10" s="73"/>
      <c r="Q10" s="102"/>
      <c r="R10" s="73"/>
      <c r="S10" s="102"/>
      <c r="T10" s="102"/>
      <c r="U10" s="102"/>
      <c r="V10" s="95"/>
      <c r="W10" s="85"/>
      <c r="X10" s="95"/>
      <c r="Y10" s="73"/>
      <c r="Z10" s="95"/>
      <c r="AA10" s="102"/>
      <c r="AB10" s="73"/>
      <c r="AC10" s="95"/>
      <c r="AD10" s="102"/>
      <c r="AE10" s="73"/>
      <c r="AF10" s="73"/>
      <c r="AG10" s="73"/>
      <c r="AH10" s="102"/>
      <c r="AI10" s="73"/>
      <c r="AJ10" s="77"/>
      <c r="AK10" s="77"/>
      <c r="AL10" s="78"/>
      <c r="AM10" s="68" t="s">
        <v>72</v>
      </c>
    </row>
    <row r="11" spans="1:39" ht="19.5" customHeight="1" x14ac:dyDescent="0.35">
      <c r="A11" s="111"/>
      <c r="B11" s="70" t="s">
        <v>73</v>
      </c>
      <c r="C11" s="73"/>
      <c r="D11" s="73"/>
      <c r="E11" s="76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6"/>
      <c r="AA11" s="76"/>
      <c r="AB11" s="73"/>
      <c r="AC11" s="73"/>
      <c r="AD11" s="73"/>
      <c r="AE11" s="73"/>
      <c r="AF11" s="73"/>
      <c r="AG11" s="73"/>
      <c r="AH11" s="73"/>
      <c r="AI11" s="73"/>
      <c r="AJ11" s="77"/>
      <c r="AK11" s="77"/>
      <c r="AL11" s="78"/>
      <c r="AM11" s="70" t="s">
        <v>73</v>
      </c>
    </row>
    <row r="12" spans="1:39" ht="19.5" customHeight="1" x14ac:dyDescent="0.35">
      <c r="A12" s="113" t="s">
        <v>74</v>
      </c>
      <c r="B12" s="59" t="s">
        <v>39</v>
      </c>
      <c r="C12" s="87"/>
      <c r="D12" s="87"/>
      <c r="E12" s="108" t="s">
        <v>114</v>
      </c>
      <c r="F12" s="109" t="s">
        <v>115</v>
      </c>
      <c r="G12" s="109" t="s">
        <v>117</v>
      </c>
      <c r="H12" s="108" t="s">
        <v>71</v>
      </c>
      <c r="I12" s="96"/>
      <c r="J12" s="97"/>
      <c r="K12" s="87"/>
      <c r="L12" s="87"/>
      <c r="M12" s="87"/>
      <c r="N12" s="87"/>
      <c r="O12" s="87"/>
      <c r="P12" s="96"/>
      <c r="Q12" s="101" t="s">
        <v>52</v>
      </c>
      <c r="R12" s="96"/>
      <c r="S12" s="87"/>
      <c r="T12" s="96"/>
      <c r="U12" s="107" t="s">
        <v>51</v>
      </c>
      <c r="V12" s="87"/>
      <c r="W12" s="96"/>
      <c r="X12" s="87"/>
      <c r="Y12" s="87"/>
      <c r="Z12" s="103" t="s">
        <v>69</v>
      </c>
      <c r="AA12" s="103" t="s">
        <v>63</v>
      </c>
      <c r="AB12" s="87"/>
      <c r="AC12" s="87"/>
      <c r="AD12" s="87"/>
      <c r="AE12" s="87"/>
      <c r="AF12" s="87"/>
      <c r="AG12" s="105" t="s">
        <v>47</v>
      </c>
      <c r="AH12" s="105" t="s">
        <v>59</v>
      </c>
      <c r="AI12" s="105" t="s">
        <v>46</v>
      </c>
      <c r="AJ12" s="77"/>
      <c r="AK12" s="105" t="s">
        <v>54</v>
      </c>
      <c r="AL12" s="78"/>
      <c r="AM12" s="59" t="s">
        <v>39</v>
      </c>
    </row>
    <row r="13" spans="1:39" ht="19.5" customHeight="1" x14ac:dyDescent="0.35">
      <c r="A13" s="111"/>
      <c r="B13" s="59" t="s">
        <v>48</v>
      </c>
      <c r="C13" s="87"/>
      <c r="D13" s="87"/>
      <c r="E13" s="102"/>
      <c r="F13" s="102"/>
      <c r="G13" s="102"/>
      <c r="H13" s="102"/>
      <c r="I13" s="95"/>
      <c r="J13" s="95"/>
      <c r="K13" s="96"/>
      <c r="L13" s="87"/>
      <c r="M13" s="87"/>
      <c r="N13" s="87"/>
      <c r="O13" s="96"/>
      <c r="P13" s="95"/>
      <c r="Q13" s="102"/>
      <c r="R13" s="95"/>
      <c r="S13" s="87"/>
      <c r="T13" s="95"/>
      <c r="U13" s="102"/>
      <c r="V13" s="96"/>
      <c r="W13" s="95"/>
      <c r="X13" s="96"/>
      <c r="Y13" s="87"/>
      <c r="Z13" s="102"/>
      <c r="AA13" s="102"/>
      <c r="AB13" s="87"/>
      <c r="AC13" s="96"/>
      <c r="AD13" s="96"/>
      <c r="AE13" s="87"/>
      <c r="AF13" s="96"/>
      <c r="AG13" s="102"/>
      <c r="AH13" s="102"/>
      <c r="AI13" s="102"/>
      <c r="AJ13" s="77"/>
      <c r="AK13" s="102"/>
      <c r="AL13" s="78"/>
      <c r="AM13" s="59" t="s">
        <v>48</v>
      </c>
    </row>
    <row r="14" spans="1:39" ht="19.5" customHeight="1" x14ac:dyDescent="0.35">
      <c r="A14" s="111"/>
      <c r="B14" s="59" t="s">
        <v>49</v>
      </c>
      <c r="C14" s="87"/>
      <c r="D14" s="87"/>
      <c r="E14" s="87"/>
      <c r="F14" s="109" t="s">
        <v>116</v>
      </c>
      <c r="G14" s="109" t="s">
        <v>118</v>
      </c>
      <c r="H14" s="103" t="s">
        <v>60</v>
      </c>
      <c r="I14" s="95"/>
      <c r="J14" s="97"/>
      <c r="K14" s="95"/>
      <c r="L14" s="106" t="s">
        <v>75</v>
      </c>
      <c r="M14" s="87"/>
      <c r="N14" s="106" t="s">
        <v>76</v>
      </c>
      <c r="O14" s="95"/>
      <c r="P14" s="101" t="s">
        <v>42</v>
      </c>
      <c r="Q14" s="96"/>
      <c r="R14" s="95"/>
      <c r="S14" s="103" t="s">
        <v>70</v>
      </c>
      <c r="T14" s="95"/>
      <c r="U14" s="103" t="s">
        <v>62</v>
      </c>
      <c r="V14" s="95"/>
      <c r="W14" s="95"/>
      <c r="X14" s="95"/>
      <c r="Y14" s="108" t="s">
        <v>44</v>
      </c>
      <c r="Z14" s="96"/>
      <c r="AA14" s="103" t="s">
        <v>77</v>
      </c>
      <c r="AB14" s="96"/>
      <c r="AC14" s="95"/>
      <c r="AD14" s="95"/>
      <c r="AE14" s="87"/>
      <c r="AF14" s="95"/>
      <c r="AG14" s="105" t="s">
        <v>54</v>
      </c>
      <c r="AH14" s="108" t="s">
        <v>78</v>
      </c>
      <c r="AI14" s="87"/>
      <c r="AJ14" s="77"/>
      <c r="AK14" s="77"/>
      <c r="AL14" s="78"/>
      <c r="AM14" s="59" t="s">
        <v>49</v>
      </c>
    </row>
    <row r="15" spans="1:39" ht="19.5" customHeight="1" x14ac:dyDescent="0.35">
      <c r="A15" s="111"/>
      <c r="B15" s="59" t="s">
        <v>55</v>
      </c>
      <c r="C15" s="87"/>
      <c r="D15" s="87"/>
      <c r="E15" s="87"/>
      <c r="F15" s="102"/>
      <c r="G15" s="102"/>
      <c r="H15" s="102"/>
      <c r="I15" s="95"/>
      <c r="J15" s="95"/>
      <c r="K15" s="95"/>
      <c r="L15" s="102"/>
      <c r="M15" s="87"/>
      <c r="N15" s="102"/>
      <c r="O15" s="95"/>
      <c r="P15" s="102"/>
      <c r="Q15" s="95"/>
      <c r="R15" s="95"/>
      <c r="S15" s="102"/>
      <c r="T15" s="95"/>
      <c r="U15" s="102"/>
      <c r="V15" s="95"/>
      <c r="W15" s="95"/>
      <c r="X15" s="95"/>
      <c r="Y15" s="102"/>
      <c r="Z15" s="95"/>
      <c r="AA15" s="102"/>
      <c r="AB15" s="95"/>
      <c r="AC15" s="95"/>
      <c r="AD15" s="95"/>
      <c r="AE15" s="87"/>
      <c r="AF15" s="95"/>
      <c r="AG15" s="102"/>
      <c r="AH15" s="102"/>
      <c r="AI15" s="87"/>
      <c r="AJ15" s="77"/>
      <c r="AK15" s="77"/>
      <c r="AL15" s="78"/>
      <c r="AM15" s="59" t="s">
        <v>55</v>
      </c>
    </row>
    <row r="16" spans="1:39" ht="19.5" customHeight="1" x14ac:dyDescent="0.35">
      <c r="A16" s="111"/>
      <c r="B16" s="69" t="s">
        <v>57</v>
      </c>
      <c r="C16" s="83"/>
      <c r="D16" s="83"/>
      <c r="E16" s="84"/>
      <c r="F16" s="83"/>
      <c r="G16" s="83"/>
      <c r="H16" s="83"/>
      <c r="I16" s="83"/>
      <c r="J16" s="83"/>
      <c r="K16" s="84"/>
      <c r="L16" s="84"/>
      <c r="M16" s="84"/>
      <c r="N16" s="84"/>
      <c r="O16" s="83"/>
      <c r="P16" s="83"/>
      <c r="Q16" s="83"/>
      <c r="R16" s="84"/>
      <c r="S16" s="84"/>
      <c r="T16" s="83"/>
      <c r="U16" s="84"/>
      <c r="V16" s="84"/>
      <c r="W16" s="84"/>
      <c r="X16" s="83"/>
      <c r="Y16" s="84"/>
      <c r="Z16" s="84"/>
      <c r="AA16" s="84"/>
      <c r="AB16" s="83"/>
      <c r="AC16" s="84"/>
      <c r="AD16" s="83"/>
      <c r="AE16" s="83"/>
      <c r="AF16" s="83"/>
      <c r="AG16" s="84"/>
      <c r="AH16" s="84"/>
      <c r="AI16" s="83"/>
      <c r="AJ16" s="77"/>
      <c r="AK16" s="77"/>
      <c r="AL16" s="78"/>
      <c r="AM16" s="69" t="s">
        <v>57</v>
      </c>
    </row>
    <row r="17" spans="1:39" ht="19.5" customHeight="1" x14ac:dyDescent="0.35">
      <c r="A17" s="111"/>
      <c r="B17" s="59" t="s">
        <v>58</v>
      </c>
      <c r="C17" s="96"/>
      <c r="D17" s="96"/>
      <c r="E17" s="96"/>
      <c r="F17" s="96"/>
      <c r="G17" s="96"/>
      <c r="H17" s="109" t="s">
        <v>79</v>
      </c>
      <c r="I17" s="105" t="s">
        <v>71</v>
      </c>
      <c r="J17" s="87"/>
      <c r="K17" s="87"/>
      <c r="L17" s="106" t="s">
        <v>75</v>
      </c>
      <c r="M17" s="96"/>
      <c r="N17" s="76"/>
      <c r="O17" s="107" t="s">
        <v>80</v>
      </c>
      <c r="P17" s="101" t="s">
        <v>59</v>
      </c>
      <c r="Q17" s="101" t="s">
        <v>52</v>
      </c>
      <c r="R17" s="96"/>
      <c r="S17" s="104" t="s">
        <v>65</v>
      </c>
      <c r="T17" s="96"/>
      <c r="U17" s="101" t="s">
        <v>53</v>
      </c>
      <c r="V17" s="108" t="s">
        <v>81</v>
      </c>
      <c r="W17" s="104" t="s">
        <v>43</v>
      </c>
      <c r="X17" s="103" t="s">
        <v>70</v>
      </c>
      <c r="Y17" s="108" t="s">
        <v>82</v>
      </c>
      <c r="Z17" s="96"/>
      <c r="AA17" s="103" t="s">
        <v>62</v>
      </c>
      <c r="AB17" s="108" t="s">
        <v>54</v>
      </c>
      <c r="AC17" s="96"/>
      <c r="AD17" s="87"/>
      <c r="AE17" s="87"/>
      <c r="AF17" s="87"/>
      <c r="AG17" s="87"/>
      <c r="AH17" s="96"/>
      <c r="AI17" s="87"/>
      <c r="AJ17" s="77"/>
      <c r="AK17" s="77"/>
      <c r="AL17" s="78"/>
      <c r="AM17" s="59" t="s">
        <v>58</v>
      </c>
    </row>
    <row r="18" spans="1:39" ht="19.5" customHeight="1" x14ac:dyDescent="0.35">
      <c r="A18" s="111"/>
      <c r="B18" s="59" t="s">
        <v>67</v>
      </c>
      <c r="C18" s="95"/>
      <c r="D18" s="95"/>
      <c r="E18" s="95"/>
      <c r="F18" s="95"/>
      <c r="G18" s="95"/>
      <c r="H18" s="102"/>
      <c r="I18" s="102"/>
      <c r="J18" s="87"/>
      <c r="K18" s="87"/>
      <c r="L18" s="102"/>
      <c r="M18" s="95"/>
      <c r="N18" s="87"/>
      <c r="O18" s="102"/>
      <c r="P18" s="102"/>
      <c r="Q18" s="102"/>
      <c r="R18" s="95"/>
      <c r="S18" s="102"/>
      <c r="T18" s="95"/>
      <c r="U18" s="102"/>
      <c r="V18" s="102"/>
      <c r="W18" s="102"/>
      <c r="X18" s="102"/>
      <c r="Y18" s="102"/>
      <c r="Z18" s="95"/>
      <c r="AA18" s="102"/>
      <c r="AB18" s="102"/>
      <c r="AC18" s="95"/>
      <c r="AD18" s="87"/>
      <c r="AE18" s="87"/>
      <c r="AF18" s="87"/>
      <c r="AG18" s="87"/>
      <c r="AH18" s="95"/>
      <c r="AI18" s="87"/>
      <c r="AJ18" s="77"/>
      <c r="AK18" s="77"/>
      <c r="AL18" s="78"/>
      <c r="AM18" s="59" t="s">
        <v>67</v>
      </c>
    </row>
    <row r="19" spans="1:39" ht="19.5" customHeight="1" x14ac:dyDescent="0.35">
      <c r="A19" s="111"/>
      <c r="B19" s="59" t="s">
        <v>68</v>
      </c>
      <c r="C19" s="95"/>
      <c r="D19" s="96"/>
      <c r="E19" s="95"/>
      <c r="F19" s="95"/>
      <c r="G19" s="95"/>
      <c r="H19" s="105" t="s">
        <v>119</v>
      </c>
      <c r="I19" s="105" t="s">
        <v>41</v>
      </c>
      <c r="J19" s="96"/>
      <c r="K19" s="87"/>
      <c r="L19" s="87"/>
      <c r="M19" s="95"/>
      <c r="N19" s="106" t="s">
        <v>50</v>
      </c>
      <c r="O19" s="87"/>
      <c r="P19" s="101" t="s">
        <v>83</v>
      </c>
      <c r="Q19" s="101" t="s">
        <v>52</v>
      </c>
      <c r="R19" s="95"/>
      <c r="S19" s="104" t="s">
        <v>43</v>
      </c>
      <c r="T19" s="95"/>
      <c r="U19" s="87"/>
      <c r="V19" s="87"/>
      <c r="W19" s="104" t="s">
        <v>79</v>
      </c>
      <c r="X19" s="87"/>
      <c r="Y19" s="87"/>
      <c r="Z19" s="95"/>
      <c r="AA19" s="87"/>
      <c r="AB19" s="87"/>
      <c r="AC19" s="95"/>
      <c r="AD19" s="105" t="s">
        <v>59</v>
      </c>
      <c r="AE19" s="87"/>
      <c r="AF19" s="87"/>
      <c r="AG19" s="87"/>
      <c r="AH19" s="96"/>
      <c r="AI19" s="87"/>
      <c r="AJ19" s="77"/>
      <c r="AK19" s="77"/>
      <c r="AL19" s="78"/>
      <c r="AM19" s="59" t="s">
        <v>68</v>
      </c>
    </row>
    <row r="20" spans="1:39" ht="19.5" customHeight="1" x14ac:dyDescent="0.35">
      <c r="A20" s="111"/>
      <c r="B20" s="59" t="s">
        <v>72</v>
      </c>
      <c r="C20" s="87"/>
      <c r="D20" s="95"/>
      <c r="E20" s="95"/>
      <c r="F20" s="95"/>
      <c r="G20" s="95"/>
      <c r="H20" s="102"/>
      <c r="I20" s="102"/>
      <c r="J20" s="95"/>
      <c r="K20" s="87"/>
      <c r="L20" s="87"/>
      <c r="M20" s="87"/>
      <c r="N20" s="102"/>
      <c r="O20" s="87"/>
      <c r="P20" s="102"/>
      <c r="Q20" s="102"/>
      <c r="R20" s="87"/>
      <c r="S20" s="102"/>
      <c r="T20" s="87"/>
      <c r="U20" s="87"/>
      <c r="V20" s="87"/>
      <c r="W20" s="102"/>
      <c r="X20" s="87"/>
      <c r="Y20" s="87"/>
      <c r="Z20" s="87"/>
      <c r="AA20" s="87"/>
      <c r="AB20" s="87"/>
      <c r="AC20" s="95"/>
      <c r="AD20" s="102"/>
      <c r="AE20" s="87"/>
      <c r="AF20" s="87"/>
      <c r="AG20" s="87"/>
      <c r="AH20" s="95"/>
      <c r="AI20" s="87"/>
      <c r="AJ20" s="77"/>
      <c r="AK20" s="77"/>
      <c r="AL20" s="78"/>
      <c r="AM20" s="59" t="s">
        <v>72</v>
      </c>
    </row>
    <row r="21" spans="1:39" ht="19.5" customHeight="1" x14ac:dyDescent="0.35">
      <c r="A21" s="111"/>
      <c r="B21" s="71" t="s">
        <v>73</v>
      </c>
      <c r="C21" s="87"/>
      <c r="D21" s="87"/>
      <c r="E21" s="76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76"/>
      <c r="Y21" s="87"/>
      <c r="Z21" s="76"/>
      <c r="AA21" s="87"/>
      <c r="AB21" s="87"/>
      <c r="AC21" s="87"/>
      <c r="AD21" s="87"/>
      <c r="AE21" s="87"/>
      <c r="AF21" s="76"/>
      <c r="AG21" s="87"/>
      <c r="AH21" s="87"/>
      <c r="AI21" s="87"/>
      <c r="AJ21" s="77"/>
      <c r="AK21" s="77"/>
      <c r="AL21" s="78"/>
      <c r="AM21" s="71" t="s">
        <v>73</v>
      </c>
    </row>
    <row r="22" spans="1:39" ht="19.5" customHeight="1" x14ac:dyDescent="0.35">
      <c r="A22" s="112" t="s">
        <v>84</v>
      </c>
      <c r="B22" s="72" t="s">
        <v>39</v>
      </c>
      <c r="C22" s="73"/>
      <c r="D22" s="73"/>
      <c r="E22" s="105" t="s">
        <v>120</v>
      </c>
      <c r="F22" s="105" t="s">
        <v>121</v>
      </c>
      <c r="G22" s="105" t="s">
        <v>122</v>
      </c>
      <c r="H22" s="105" t="s">
        <v>123</v>
      </c>
      <c r="I22" s="105" t="s">
        <v>54</v>
      </c>
      <c r="J22" s="73"/>
      <c r="K22" s="73"/>
      <c r="L22" s="73"/>
      <c r="M22" s="73"/>
      <c r="N22" s="103" t="s">
        <v>60</v>
      </c>
      <c r="O22" s="103" t="s">
        <v>69</v>
      </c>
      <c r="P22" s="96"/>
      <c r="Q22" s="81"/>
      <c r="R22" s="73"/>
      <c r="S22" s="73"/>
      <c r="T22" s="73"/>
      <c r="U22" s="73"/>
      <c r="V22" s="73"/>
      <c r="W22" s="73"/>
      <c r="X22" s="103" t="s">
        <v>63</v>
      </c>
      <c r="Y22" s="96"/>
      <c r="Z22" s="103" t="s">
        <v>62</v>
      </c>
      <c r="AA22" s="73"/>
      <c r="AB22" s="73"/>
      <c r="AC22" s="96"/>
      <c r="AD22" s="73"/>
      <c r="AE22" s="101" t="s">
        <v>234</v>
      </c>
      <c r="AF22" s="86"/>
      <c r="AG22" s="96"/>
      <c r="AH22" s="73"/>
      <c r="AI22" s="73"/>
      <c r="AJ22" s="77"/>
      <c r="AK22" s="77"/>
      <c r="AL22" s="78"/>
      <c r="AM22" s="72" t="s">
        <v>39</v>
      </c>
    </row>
    <row r="23" spans="1:39" ht="19.5" customHeight="1" x14ac:dyDescent="0.35">
      <c r="A23" s="111"/>
      <c r="B23" s="72" t="s">
        <v>48</v>
      </c>
      <c r="C23" s="73"/>
      <c r="D23" s="73"/>
      <c r="E23" s="102"/>
      <c r="F23" s="102"/>
      <c r="G23" s="102"/>
      <c r="H23" s="102"/>
      <c r="I23" s="102"/>
      <c r="J23" s="73"/>
      <c r="K23" s="73"/>
      <c r="L23" s="96"/>
      <c r="M23" s="109" t="s">
        <v>65</v>
      </c>
      <c r="N23" s="102"/>
      <c r="O23" s="102"/>
      <c r="P23" s="95"/>
      <c r="Q23" s="81"/>
      <c r="R23" s="96"/>
      <c r="S23" s="96"/>
      <c r="T23" s="73"/>
      <c r="U23" s="96"/>
      <c r="V23" s="73"/>
      <c r="W23" s="109" t="s">
        <v>45</v>
      </c>
      <c r="X23" s="102"/>
      <c r="Y23" s="95"/>
      <c r="Z23" s="102"/>
      <c r="AA23" s="96"/>
      <c r="AB23" s="73"/>
      <c r="AC23" s="95"/>
      <c r="AD23" s="73"/>
      <c r="AE23" s="102"/>
      <c r="AF23" s="73"/>
      <c r="AG23" s="95"/>
      <c r="AH23" s="73"/>
      <c r="AI23" s="73"/>
      <c r="AJ23" s="104" t="s">
        <v>43</v>
      </c>
      <c r="AK23" s="77"/>
      <c r="AL23" s="99"/>
      <c r="AM23" s="72" t="s">
        <v>48</v>
      </c>
    </row>
    <row r="24" spans="1:39" ht="19.5" customHeight="1" x14ac:dyDescent="0.35">
      <c r="A24" s="111"/>
      <c r="B24" s="72" t="s">
        <v>49</v>
      </c>
      <c r="C24" s="97"/>
      <c r="D24" s="73"/>
      <c r="E24" s="73"/>
      <c r="F24" s="108" t="s">
        <v>124</v>
      </c>
      <c r="G24" s="108" t="s">
        <v>125</v>
      </c>
      <c r="H24" s="105" t="s">
        <v>126</v>
      </c>
      <c r="I24" s="105" t="s">
        <v>77</v>
      </c>
      <c r="J24" s="73"/>
      <c r="K24" s="73"/>
      <c r="L24" s="95"/>
      <c r="M24" s="102"/>
      <c r="N24" s="88"/>
      <c r="O24" s="107" t="s">
        <v>51</v>
      </c>
      <c r="P24" s="101" t="s">
        <v>83</v>
      </c>
      <c r="Q24" s="101" t="s">
        <v>52</v>
      </c>
      <c r="R24" s="95"/>
      <c r="S24" s="95"/>
      <c r="T24" s="101" t="s">
        <v>85</v>
      </c>
      <c r="U24" s="95"/>
      <c r="V24" s="96"/>
      <c r="W24" s="102"/>
      <c r="X24" s="103" t="s">
        <v>70</v>
      </c>
      <c r="Y24" s="96"/>
      <c r="Z24" s="103" t="s">
        <v>60</v>
      </c>
      <c r="AA24" s="95"/>
      <c r="AB24" s="73"/>
      <c r="AC24" s="95"/>
      <c r="AD24" s="73"/>
      <c r="AE24" s="81"/>
      <c r="AF24" s="106" t="s">
        <v>50</v>
      </c>
      <c r="AG24" s="96"/>
      <c r="AH24" s="73"/>
      <c r="AI24" s="73"/>
      <c r="AJ24" s="102"/>
      <c r="AK24" s="77"/>
      <c r="AL24" s="100"/>
      <c r="AM24" s="72" t="s">
        <v>49</v>
      </c>
    </row>
    <row r="25" spans="1:39" ht="19.5" customHeight="1" x14ac:dyDescent="0.35">
      <c r="A25" s="111"/>
      <c r="B25" s="72" t="s">
        <v>55</v>
      </c>
      <c r="C25" s="95"/>
      <c r="D25" s="73"/>
      <c r="E25" s="73"/>
      <c r="F25" s="102"/>
      <c r="G25" s="102"/>
      <c r="H25" s="102"/>
      <c r="I25" s="102"/>
      <c r="J25" s="73"/>
      <c r="K25" s="73"/>
      <c r="L25" s="95"/>
      <c r="M25" s="88"/>
      <c r="N25" s="88"/>
      <c r="O25" s="102"/>
      <c r="P25" s="102"/>
      <c r="Q25" s="102"/>
      <c r="R25" s="95"/>
      <c r="S25" s="95"/>
      <c r="T25" s="102"/>
      <c r="U25" s="95"/>
      <c r="V25" s="95"/>
      <c r="W25" s="73"/>
      <c r="X25" s="102"/>
      <c r="Y25" s="95"/>
      <c r="Z25" s="102"/>
      <c r="AA25" s="95"/>
      <c r="AB25" s="73"/>
      <c r="AC25" s="95"/>
      <c r="AD25" s="73"/>
      <c r="AE25" s="81"/>
      <c r="AF25" s="102"/>
      <c r="AG25" s="95"/>
      <c r="AH25" s="73"/>
      <c r="AI25" s="73"/>
      <c r="AJ25" s="102"/>
      <c r="AK25" s="77"/>
      <c r="AL25" s="100"/>
      <c r="AM25" s="72" t="s">
        <v>55</v>
      </c>
    </row>
    <row r="26" spans="1:39" ht="19.5" customHeight="1" x14ac:dyDescent="0.35">
      <c r="A26" s="111"/>
      <c r="B26" s="69" t="s">
        <v>57</v>
      </c>
      <c r="C26" s="83"/>
      <c r="D26" s="83"/>
      <c r="E26" s="89" t="s">
        <v>86</v>
      </c>
      <c r="F26" s="83"/>
      <c r="G26" s="83"/>
      <c r="H26" s="83"/>
      <c r="I26" s="83"/>
      <c r="J26" s="83"/>
      <c r="K26" s="84"/>
      <c r="L26" s="84"/>
      <c r="M26" s="84"/>
      <c r="N26" s="84"/>
      <c r="O26" s="83"/>
      <c r="P26" s="83"/>
      <c r="Q26" s="83"/>
      <c r="R26" s="84"/>
      <c r="S26" s="84"/>
      <c r="T26" s="83"/>
      <c r="U26" s="84"/>
      <c r="V26" s="84"/>
      <c r="W26" s="84"/>
      <c r="X26" s="83"/>
      <c r="Y26" s="84"/>
      <c r="Z26" s="84"/>
      <c r="AA26" s="84"/>
      <c r="AB26" s="83"/>
      <c r="AC26" s="84"/>
      <c r="AD26" s="83"/>
      <c r="AE26" s="83"/>
      <c r="AF26" s="83"/>
      <c r="AG26" s="84"/>
      <c r="AH26" s="84"/>
      <c r="AI26" s="83"/>
      <c r="AJ26" s="77"/>
      <c r="AK26" s="77"/>
      <c r="AL26" s="78"/>
      <c r="AM26" s="69" t="s">
        <v>57</v>
      </c>
    </row>
    <row r="27" spans="1:39" ht="19.5" customHeight="1" x14ac:dyDescent="0.35">
      <c r="A27" s="111"/>
      <c r="B27" s="68" t="s">
        <v>58</v>
      </c>
      <c r="C27" s="73"/>
      <c r="D27" s="96"/>
      <c r="E27" s="96"/>
      <c r="F27" s="108" t="s">
        <v>127</v>
      </c>
      <c r="G27" s="103" t="s">
        <v>128</v>
      </c>
      <c r="H27" s="108" t="s">
        <v>44</v>
      </c>
      <c r="I27" s="103" t="s">
        <v>61</v>
      </c>
      <c r="J27" s="96"/>
      <c r="K27" s="86"/>
      <c r="L27" s="106" t="s">
        <v>47</v>
      </c>
      <c r="M27" s="88"/>
      <c r="N27" s="96"/>
      <c r="O27" s="107" t="s">
        <v>51</v>
      </c>
      <c r="P27" s="96"/>
      <c r="Q27" s="101" t="s">
        <v>42</v>
      </c>
      <c r="R27" s="96"/>
      <c r="S27" s="104" t="s">
        <v>66</v>
      </c>
      <c r="T27" s="96"/>
      <c r="U27" s="96"/>
      <c r="V27" s="73"/>
      <c r="W27" s="96"/>
      <c r="X27" s="96"/>
      <c r="Y27" s="73"/>
      <c r="Z27" s="103" t="s">
        <v>62</v>
      </c>
      <c r="AA27" s="73"/>
      <c r="AB27" s="96"/>
      <c r="AC27" s="96"/>
      <c r="AD27" s="105" t="s">
        <v>46</v>
      </c>
      <c r="AE27" s="81"/>
      <c r="AF27" s="96"/>
      <c r="AG27" s="73"/>
      <c r="AH27" s="73"/>
      <c r="AI27" s="73"/>
      <c r="AJ27" s="77"/>
      <c r="AK27" s="77"/>
      <c r="AL27" s="78"/>
      <c r="AM27" s="68" t="s">
        <v>58</v>
      </c>
    </row>
    <row r="28" spans="1:39" ht="19.5" customHeight="1" x14ac:dyDescent="0.35">
      <c r="A28" s="111"/>
      <c r="B28" s="72" t="s">
        <v>67</v>
      </c>
      <c r="C28" s="73"/>
      <c r="D28" s="95"/>
      <c r="E28" s="95"/>
      <c r="F28" s="102"/>
      <c r="G28" s="102"/>
      <c r="H28" s="102"/>
      <c r="I28" s="102"/>
      <c r="J28" s="95"/>
      <c r="K28" s="73"/>
      <c r="L28" s="102"/>
      <c r="M28" s="88"/>
      <c r="N28" s="95"/>
      <c r="O28" s="102"/>
      <c r="P28" s="95"/>
      <c r="Q28" s="102"/>
      <c r="R28" s="95"/>
      <c r="S28" s="102"/>
      <c r="T28" s="95"/>
      <c r="U28" s="95"/>
      <c r="V28" s="73"/>
      <c r="W28" s="95"/>
      <c r="X28" s="95"/>
      <c r="Y28" s="73"/>
      <c r="Z28" s="102"/>
      <c r="AA28" s="96"/>
      <c r="AB28" s="95"/>
      <c r="AC28" s="95"/>
      <c r="AD28" s="102"/>
      <c r="AE28" s="81"/>
      <c r="AF28" s="95"/>
      <c r="AG28" s="73"/>
      <c r="AH28" s="73"/>
      <c r="AI28" s="73"/>
      <c r="AJ28" s="77"/>
      <c r="AK28" s="77"/>
      <c r="AL28" s="78"/>
      <c r="AM28" s="72" t="s">
        <v>67</v>
      </c>
    </row>
    <row r="29" spans="1:39" ht="19.5" customHeight="1" x14ac:dyDescent="0.35">
      <c r="A29" s="111"/>
      <c r="B29" s="72" t="s">
        <v>68</v>
      </c>
      <c r="C29" s="73"/>
      <c r="D29" s="96"/>
      <c r="E29" s="95"/>
      <c r="F29" s="81"/>
      <c r="G29" s="73"/>
      <c r="H29" s="73"/>
      <c r="I29" s="73"/>
      <c r="J29" s="96"/>
      <c r="K29" s="73"/>
      <c r="L29" s="106" t="s">
        <v>75</v>
      </c>
      <c r="M29" s="88"/>
      <c r="N29" s="96"/>
      <c r="O29" s="107" t="s">
        <v>51</v>
      </c>
      <c r="P29" s="95"/>
      <c r="Q29" s="102"/>
      <c r="R29" s="95"/>
      <c r="S29" s="73"/>
      <c r="T29" s="95"/>
      <c r="U29" s="95"/>
      <c r="V29" s="96"/>
      <c r="W29" s="95"/>
      <c r="X29" s="95"/>
      <c r="Y29" s="73"/>
      <c r="Z29" s="73"/>
      <c r="AA29" s="95"/>
      <c r="AB29" s="96"/>
      <c r="AC29" s="95"/>
      <c r="AD29" s="73"/>
      <c r="AE29" s="101" t="s">
        <v>235</v>
      </c>
      <c r="AF29" s="95"/>
      <c r="AG29" s="96"/>
      <c r="AH29" s="73"/>
      <c r="AI29" s="73"/>
      <c r="AJ29" s="77"/>
      <c r="AK29" s="77"/>
      <c r="AL29" s="78"/>
      <c r="AM29" s="72" t="s">
        <v>68</v>
      </c>
    </row>
    <row r="30" spans="1:39" ht="19.5" customHeight="1" x14ac:dyDescent="0.35">
      <c r="A30" s="111"/>
      <c r="B30" s="72" t="s">
        <v>72</v>
      </c>
      <c r="C30" s="73"/>
      <c r="D30" s="95"/>
      <c r="E30" s="73"/>
      <c r="F30" s="81"/>
      <c r="G30" s="73"/>
      <c r="H30" s="73"/>
      <c r="I30" s="73"/>
      <c r="J30" s="95"/>
      <c r="K30" s="73"/>
      <c r="L30" s="102"/>
      <c r="M30" s="73"/>
      <c r="N30" s="95"/>
      <c r="O30" s="102"/>
      <c r="P30" s="95"/>
      <c r="Q30" s="76"/>
      <c r="R30" s="73"/>
      <c r="S30" s="73"/>
      <c r="T30" s="95"/>
      <c r="U30" s="73"/>
      <c r="V30" s="95"/>
      <c r="W30" s="90"/>
      <c r="X30" s="73"/>
      <c r="Y30" s="73"/>
      <c r="Z30" s="73"/>
      <c r="AA30" s="95"/>
      <c r="AB30" s="95"/>
      <c r="AC30" s="73"/>
      <c r="AD30" s="73"/>
      <c r="AE30" s="102"/>
      <c r="AF30" s="95"/>
      <c r="AG30" s="95"/>
      <c r="AH30" s="73"/>
      <c r="AI30" s="73"/>
      <c r="AJ30" s="77"/>
      <c r="AK30" s="77"/>
      <c r="AL30" s="78"/>
      <c r="AM30" s="72" t="s">
        <v>72</v>
      </c>
    </row>
    <row r="31" spans="1:39" ht="19.5" customHeight="1" x14ac:dyDescent="0.35">
      <c r="A31" s="111"/>
      <c r="B31" s="70" t="s">
        <v>73</v>
      </c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6"/>
      <c r="Y31" s="73"/>
      <c r="Z31" s="73"/>
      <c r="AA31" s="76"/>
      <c r="AB31" s="73"/>
      <c r="AC31" s="73"/>
      <c r="AD31" s="73"/>
      <c r="AE31" s="73"/>
      <c r="AF31" s="73"/>
      <c r="AG31" s="73"/>
      <c r="AH31" s="73"/>
      <c r="AI31" s="73"/>
      <c r="AJ31" s="77"/>
      <c r="AK31" s="77"/>
      <c r="AL31" s="98"/>
      <c r="AM31" s="70" t="s">
        <v>73</v>
      </c>
    </row>
    <row r="32" spans="1:39" ht="19.5" customHeight="1" x14ac:dyDescent="0.35">
      <c r="A32" s="113" t="s">
        <v>87</v>
      </c>
      <c r="B32" s="59" t="s">
        <v>39</v>
      </c>
      <c r="C32" s="87"/>
      <c r="D32" s="87"/>
      <c r="E32" s="108" t="s">
        <v>129</v>
      </c>
      <c r="F32" s="87"/>
      <c r="G32" s="108" t="s">
        <v>127</v>
      </c>
      <c r="H32" s="108" t="s">
        <v>71</v>
      </c>
      <c r="I32" s="105" t="s">
        <v>54</v>
      </c>
      <c r="J32" s="97"/>
      <c r="K32" s="96"/>
      <c r="L32" s="87"/>
      <c r="M32" s="87"/>
      <c r="N32" s="87"/>
      <c r="O32" s="87"/>
      <c r="P32" s="101" t="s">
        <v>83</v>
      </c>
      <c r="Q32" s="101" t="s">
        <v>52</v>
      </c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96"/>
      <c r="AC32" s="96"/>
      <c r="AD32" s="105" t="s">
        <v>41</v>
      </c>
      <c r="AE32" s="87"/>
      <c r="AF32" s="87"/>
      <c r="AG32" s="87"/>
      <c r="AH32" s="87"/>
      <c r="AI32" s="87"/>
      <c r="AJ32" s="77"/>
      <c r="AK32" s="77"/>
      <c r="AL32" s="78"/>
      <c r="AM32" s="59" t="s">
        <v>39</v>
      </c>
    </row>
    <row r="33" spans="1:39" ht="19.5" customHeight="1" x14ac:dyDescent="0.35">
      <c r="A33" s="111"/>
      <c r="B33" s="59" t="s">
        <v>48</v>
      </c>
      <c r="C33" s="87"/>
      <c r="D33" s="87"/>
      <c r="E33" s="102"/>
      <c r="F33" s="87"/>
      <c r="G33" s="102"/>
      <c r="H33" s="102"/>
      <c r="I33" s="102"/>
      <c r="J33" s="95"/>
      <c r="K33" s="95"/>
      <c r="L33" s="96"/>
      <c r="M33" s="96"/>
      <c r="N33" s="106" t="s">
        <v>50</v>
      </c>
      <c r="O33" s="87"/>
      <c r="P33" s="102"/>
      <c r="Q33" s="102"/>
      <c r="R33" s="87"/>
      <c r="S33" s="96"/>
      <c r="T33" s="87"/>
      <c r="U33" s="87"/>
      <c r="V33" s="87"/>
      <c r="W33" s="104" t="s">
        <v>79</v>
      </c>
      <c r="X33" s="87"/>
      <c r="Y33" s="96"/>
      <c r="Z33" s="87"/>
      <c r="AA33" s="87"/>
      <c r="AB33" s="95"/>
      <c r="AC33" s="95"/>
      <c r="AD33" s="102"/>
      <c r="AE33" s="87"/>
      <c r="AF33" s="104" t="s">
        <v>45</v>
      </c>
      <c r="AG33" s="87"/>
      <c r="AH33" s="87"/>
      <c r="AI33" s="87"/>
      <c r="AJ33" s="77"/>
      <c r="AK33" s="77"/>
      <c r="AL33" s="78"/>
      <c r="AM33" s="59" t="s">
        <v>48</v>
      </c>
    </row>
    <row r="34" spans="1:39" ht="19.5" customHeight="1" x14ac:dyDescent="0.35">
      <c r="A34" s="111"/>
      <c r="B34" s="59" t="s">
        <v>49</v>
      </c>
      <c r="C34" s="87"/>
      <c r="D34" s="87"/>
      <c r="E34" s="108" t="s">
        <v>111</v>
      </c>
      <c r="F34" s="108" t="s">
        <v>130</v>
      </c>
      <c r="G34" s="104" t="s">
        <v>131</v>
      </c>
      <c r="H34" s="104" t="s">
        <v>65</v>
      </c>
      <c r="I34" s="87"/>
      <c r="J34" s="97"/>
      <c r="K34" s="95"/>
      <c r="L34" s="95"/>
      <c r="M34" s="95"/>
      <c r="N34" s="102"/>
      <c r="O34" s="107" t="s">
        <v>51</v>
      </c>
      <c r="P34" s="96"/>
      <c r="Q34" s="101" t="s">
        <v>42</v>
      </c>
      <c r="R34" s="87"/>
      <c r="S34" s="95"/>
      <c r="T34" s="101" t="s">
        <v>53</v>
      </c>
      <c r="U34" s="101" t="s">
        <v>64</v>
      </c>
      <c r="V34" s="96"/>
      <c r="W34" s="102"/>
      <c r="X34" s="103" t="s">
        <v>70</v>
      </c>
      <c r="Y34" s="95"/>
      <c r="Z34" s="96"/>
      <c r="AA34" s="103" t="s">
        <v>61</v>
      </c>
      <c r="AB34" s="96"/>
      <c r="AC34" s="95"/>
      <c r="AD34" s="87"/>
      <c r="AE34" s="87"/>
      <c r="AF34" s="102"/>
      <c r="AG34" s="87"/>
      <c r="AH34" s="87"/>
      <c r="AI34" s="87"/>
      <c r="AJ34" s="77"/>
      <c r="AK34" s="77"/>
      <c r="AL34" s="78"/>
      <c r="AM34" s="59" t="s">
        <v>49</v>
      </c>
    </row>
    <row r="35" spans="1:39" ht="19.5" customHeight="1" x14ac:dyDescent="0.35">
      <c r="A35" s="111"/>
      <c r="B35" s="59" t="s">
        <v>55</v>
      </c>
      <c r="C35" s="87"/>
      <c r="D35" s="87"/>
      <c r="E35" s="102"/>
      <c r="F35" s="102"/>
      <c r="G35" s="102"/>
      <c r="H35" s="102"/>
      <c r="I35" s="87"/>
      <c r="J35" s="95"/>
      <c r="K35" s="95"/>
      <c r="L35" s="95"/>
      <c r="M35" s="95"/>
      <c r="N35" s="87"/>
      <c r="O35" s="102"/>
      <c r="P35" s="95"/>
      <c r="Q35" s="102"/>
      <c r="R35" s="87"/>
      <c r="S35" s="95"/>
      <c r="T35" s="102"/>
      <c r="U35" s="102"/>
      <c r="V35" s="95"/>
      <c r="W35" s="87"/>
      <c r="X35" s="102"/>
      <c r="Y35" s="95"/>
      <c r="Z35" s="95"/>
      <c r="AA35" s="102"/>
      <c r="AB35" s="95"/>
      <c r="AC35" s="95"/>
      <c r="AD35" s="87"/>
      <c r="AE35" s="87"/>
      <c r="AF35" s="76" t="s">
        <v>88</v>
      </c>
      <c r="AG35" s="87"/>
      <c r="AH35" s="87"/>
      <c r="AI35" s="87"/>
      <c r="AJ35" s="77"/>
      <c r="AK35" s="77"/>
      <c r="AL35" s="78"/>
      <c r="AM35" s="59" t="s">
        <v>55</v>
      </c>
    </row>
    <row r="36" spans="1:39" ht="19.5" customHeight="1" x14ac:dyDescent="0.35">
      <c r="A36" s="111"/>
      <c r="B36" s="69" t="s">
        <v>57</v>
      </c>
      <c r="C36" s="83"/>
      <c r="D36" s="83"/>
      <c r="E36" s="84"/>
      <c r="F36" s="83"/>
      <c r="G36" s="83"/>
      <c r="H36" s="83"/>
      <c r="I36" s="83"/>
      <c r="J36" s="83"/>
      <c r="K36" s="84"/>
      <c r="L36" s="84"/>
      <c r="M36" s="84"/>
      <c r="N36" s="84"/>
      <c r="O36" s="83"/>
      <c r="P36" s="83"/>
      <c r="Q36" s="83"/>
      <c r="R36" s="84"/>
      <c r="S36" s="84"/>
      <c r="T36" s="83"/>
      <c r="U36" s="84"/>
      <c r="V36" s="84"/>
      <c r="W36" s="84"/>
      <c r="X36" s="83"/>
      <c r="Y36" s="84"/>
      <c r="Z36" s="84"/>
      <c r="AA36" s="84"/>
      <c r="AB36" s="83"/>
      <c r="AC36" s="84"/>
      <c r="AD36" s="83"/>
      <c r="AE36" s="83"/>
      <c r="AF36" s="83"/>
      <c r="AG36" s="84"/>
      <c r="AH36" s="84"/>
      <c r="AI36" s="83"/>
      <c r="AJ36" s="77"/>
      <c r="AK36" s="77"/>
      <c r="AL36" s="78"/>
      <c r="AM36" s="69" t="s">
        <v>57</v>
      </c>
    </row>
    <row r="37" spans="1:39" ht="19.5" customHeight="1" x14ac:dyDescent="0.35">
      <c r="A37" s="111"/>
      <c r="B37" s="59" t="s">
        <v>58</v>
      </c>
      <c r="C37" s="87"/>
      <c r="D37" s="96"/>
      <c r="E37" s="103" t="s">
        <v>132</v>
      </c>
      <c r="F37" s="97"/>
      <c r="G37" s="108" t="s">
        <v>129</v>
      </c>
      <c r="H37" s="108" t="s">
        <v>89</v>
      </c>
      <c r="I37" s="108" t="s">
        <v>41</v>
      </c>
      <c r="J37" s="87"/>
      <c r="K37" s="103" t="s">
        <v>69</v>
      </c>
      <c r="L37" s="96"/>
      <c r="M37" s="96"/>
      <c r="N37" s="96"/>
      <c r="O37" s="96"/>
      <c r="P37" s="96"/>
      <c r="Q37" s="101" t="s">
        <v>83</v>
      </c>
      <c r="R37" s="104" t="s">
        <v>45</v>
      </c>
      <c r="S37" s="104" t="s">
        <v>65</v>
      </c>
      <c r="T37" s="96"/>
      <c r="U37" s="96"/>
      <c r="V37" s="108" t="s">
        <v>77</v>
      </c>
      <c r="W37" s="104" t="s">
        <v>90</v>
      </c>
      <c r="X37" s="103" t="s">
        <v>71</v>
      </c>
      <c r="Y37" s="96"/>
      <c r="Z37" s="96"/>
      <c r="AA37" s="103" t="s">
        <v>63</v>
      </c>
      <c r="AB37" s="96"/>
      <c r="AC37" s="96"/>
      <c r="AD37" s="103" t="s">
        <v>62</v>
      </c>
      <c r="AE37" s="107" t="s">
        <v>51</v>
      </c>
      <c r="AF37" s="87"/>
      <c r="AG37" s="87"/>
      <c r="AH37" s="87"/>
      <c r="AI37" s="87"/>
      <c r="AJ37" s="77"/>
      <c r="AK37" s="77"/>
      <c r="AL37" s="78"/>
      <c r="AM37" s="59" t="s">
        <v>58</v>
      </c>
    </row>
    <row r="38" spans="1:39" ht="19.5" customHeight="1" x14ac:dyDescent="0.35">
      <c r="A38" s="111"/>
      <c r="B38" s="59" t="s">
        <v>67</v>
      </c>
      <c r="C38" s="87"/>
      <c r="D38" s="95"/>
      <c r="E38" s="102"/>
      <c r="F38" s="95"/>
      <c r="G38" s="102"/>
      <c r="H38" s="102"/>
      <c r="I38" s="102"/>
      <c r="J38" s="87"/>
      <c r="K38" s="102"/>
      <c r="L38" s="95"/>
      <c r="M38" s="95"/>
      <c r="N38" s="95"/>
      <c r="O38" s="95"/>
      <c r="P38" s="95"/>
      <c r="Q38" s="102"/>
      <c r="R38" s="102"/>
      <c r="S38" s="102"/>
      <c r="T38" s="95"/>
      <c r="U38" s="95"/>
      <c r="V38" s="102"/>
      <c r="W38" s="102"/>
      <c r="X38" s="102"/>
      <c r="Y38" s="95"/>
      <c r="Z38" s="95"/>
      <c r="AA38" s="102"/>
      <c r="AB38" s="95"/>
      <c r="AC38" s="95"/>
      <c r="AD38" s="102"/>
      <c r="AE38" s="102"/>
      <c r="AF38" s="87"/>
      <c r="AG38" s="87"/>
      <c r="AH38" s="87"/>
      <c r="AI38" s="87"/>
      <c r="AJ38" s="77"/>
      <c r="AK38" s="77"/>
      <c r="AL38" s="78"/>
      <c r="AM38" s="59" t="s">
        <v>67</v>
      </c>
    </row>
    <row r="39" spans="1:39" ht="19.5" customHeight="1" x14ac:dyDescent="0.35">
      <c r="A39" s="111"/>
      <c r="B39" s="59" t="s">
        <v>68</v>
      </c>
      <c r="C39" s="96"/>
      <c r="D39" s="96"/>
      <c r="E39" s="87"/>
      <c r="F39" s="105" t="s">
        <v>107</v>
      </c>
      <c r="G39" s="105" t="s">
        <v>133</v>
      </c>
      <c r="H39" s="105" t="s">
        <v>134</v>
      </c>
      <c r="I39" s="105" t="s">
        <v>77</v>
      </c>
      <c r="J39" s="87"/>
      <c r="K39" s="106" t="s">
        <v>75</v>
      </c>
      <c r="L39" s="95"/>
      <c r="M39" s="95"/>
      <c r="N39" s="95"/>
      <c r="O39" s="87"/>
      <c r="P39" s="87"/>
      <c r="Q39" s="101" t="s">
        <v>52</v>
      </c>
      <c r="R39" s="103" t="s">
        <v>41</v>
      </c>
      <c r="S39" s="87"/>
      <c r="T39" s="95"/>
      <c r="U39" s="95"/>
      <c r="V39" s="96"/>
      <c r="W39" s="87"/>
      <c r="X39" s="103" t="s">
        <v>60</v>
      </c>
      <c r="Y39" s="95"/>
      <c r="Z39" s="96"/>
      <c r="AA39" s="103" t="s">
        <v>70</v>
      </c>
      <c r="AB39" s="96"/>
      <c r="AC39" s="87"/>
      <c r="AD39" s="87"/>
      <c r="AE39" s="87"/>
      <c r="AF39" s="87"/>
      <c r="AG39" s="87"/>
      <c r="AH39" s="87"/>
      <c r="AI39" s="87"/>
      <c r="AJ39" s="77"/>
      <c r="AK39" s="77"/>
      <c r="AL39" s="78"/>
      <c r="AM39" s="59" t="s">
        <v>68</v>
      </c>
    </row>
    <row r="40" spans="1:39" ht="19.5" customHeight="1" x14ac:dyDescent="0.35">
      <c r="A40" s="111"/>
      <c r="B40" s="59" t="s">
        <v>72</v>
      </c>
      <c r="C40" s="95"/>
      <c r="D40" s="95"/>
      <c r="E40" s="87"/>
      <c r="F40" s="102"/>
      <c r="G40" s="102"/>
      <c r="H40" s="102"/>
      <c r="I40" s="102"/>
      <c r="J40" s="87"/>
      <c r="K40" s="102"/>
      <c r="L40" s="95"/>
      <c r="M40" s="87"/>
      <c r="N40" s="95"/>
      <c r="O40" s="87"/>
      <c r="P40" s="87"/>
      <c r="Q40" s="102"/>
      <c r="R40" s="102"/>
      <c r="S40" s="87"/>
      <c r="T40" s="95"/>
      <c r="U40" s="87"/>
      <c r="V40" s="95"/>
      <c r="W40" s="87"/>
      <c r="X40" s="102"/>
      <c r="Y40" s="87"/>
      <c r="Z40" s="95"/>
      <c r="AA40" s="102"/>
      <c r="AB40" s="95"/>
      <c r="AC40" s="87"/>
      <c r="AD40" s="87"/>
      <c r="AE40" s="87"/>
      <c r="AF40" s="87"/>
      <c r="AG40" s="87"/>
      <c r="AH40" s="87"/>
      <c r="AI40" s="87"/>
      <c r="AJ40" s="77"/>
      <c r="AK40" s="77"/>
      <c r="AL40" s="78"/>
      <c r="AM40" s="59" t="s">
        <v>72</v>
      </c>
    </row>
    <row r="41" spans="1:39" ht="19.5" customHeight="1" x14ac:dyDescent="0.35">
      <c r="A41" s="111"/>
      <c r="B41" s="71" t="s">
        <v>73</v>
      </c>
      <c r="C41" s="76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95"/>
      <c r="W41" s="87"/>
      <c r="X41" s="87"/>
      <c r="Y41" s="87"/>
      <c r="Z41" s="76"/>
      <c r="AA41" s="87"/>
      <c r="AB41" s="87"/>
      <c r="AC41" s="87"/>
      <c r="AD41" s="87"/>
      <c r="AE41" s="87"/>
      <c r="AF41" s="87"/>
      <c r="AG41" s="87"/>
      <c r="AH41" s="87"/>
      <c r="AI41" s="87"/>
      <c r="AJ41" s="77"/>
      <c r="AK41" s="77"/>
      <c r="AL41" s="78"/>
      <c r="AM41" s="71" t="s">
        <v>73</v>
      </c>
    </row>
    <row r="42" spans="1:39" ht="19.5" customHeight="1" x14ac:dyDescent="0.35">
      <c r="A42" s="112" t="s">
        <v>91</v>
      </c>
      <c r="B42" s="72" t="s">
        <v>39</v>
      </c>
      <c r="C42" s="73"/>
      <c r="D42" s="73"/>
      <c r="E42" s="73"/>
      <c r="F42" s="104" t="s">
        <v>116</v>
      </c>
      <c r="G42" s="104" t="s">
        <v>135</v>
      </c>
      <c r="H42" s="105" t="s">
        <v>136</v>
      </c>
      <c r="I42" s="105" t="s">
        <v>64</v>
      </c>
      <c r="J42" s="76"/>
      <c r="K42" s="73"/>
      <c r="L42" s="73"/>
      <c r="M42" s="73"/>
      <c r="N42" s="73"/>
      <c r="O42" s="73"/>
      <c r="P42" s="101" t="s">
        <v>83</v>
      </c>
      <c r="Q42" s="73"/>
      <c r="R42" s="101" t="s">
        <v>52</v>
      </c>
      <c r="S42" s="73"/>
      <c r="T42" s="73"/>
      <c r="U42" s="103" t="s">
        <v>69</v>
      </c>
      <c r="V42" s="73"/>
      <c r="W42" s="73"/>
      <c r="X42" s="103" t="s">
        <v>70</v>
      </c>
      <c r="Y42" s="73"/>
      <c r="Z42" s="103" t="s">
        <v>63</v>
      </c>
      <c r="AA42" s="103" t="s">
        <v>62</v>
      </c>
      <c r="AB42" s="91"/>
      <c r="AC42" s="73"/>
      <c r="AD42" s="105" t="s">
        <v>47</v>
      </c>
      <c r="AE42" s="73"/>
      <c r="AF42" s="108" t="s">
        <v>81</v>
      </c>
      <c r="AG42" s="81"/>
      <c r="AH42" s="108" t="s">
        <v>44</v>
      </c>
      <c r="AI42" s="81"/>
      <c r="AJ42" s="77"/>
      <c r="AK42" s="77"/>
      <c r="AL42" s="78"/>
      <c r="AM42" s="72" t="s">
        <v>39</v>
      </c>
    </row>
    <row r="43" spans="1:39" ht="19.5" customHeight="1" x14ac:dyDescent="0.35">
      <c r="A43" s="111"/>
      <c r="B43" s="72" t="s">
        <v>48</v>
      </c>
      <c r="C43" s="73"/>
      <c r="D43" s="73"/>
      <c r="E43" s="96"/>
      <c r="F43" s="102"/>
      <c r="G43" s="102"/>
      <c r="H43" s="102"/>
      <c r="I43" s="102"/>
      <c r="J43" s="73"/>
      <c r="K43" s="96"/>
      <c r="L43" s="86"/>
      <c r="M43" s="96"/>
      <c r="N43" s="96"/>
      <c r="O43" s="73"/>
      <c r="P43" s="102"/>
      <c r="Q43" s="96"/>
      <c r="R43" s="102"/>
      <c r="S43" s="73"/>
      <c r="T43" s="73"/>
      <c r="U43" s="102"/>
      <c r="V43" s="96"/>
      <c r="W43" s="73"/>
      <c r="X43" s="102"/>
      <c r="Y43" s="73"/>
      <c r="Z43" s="102"/>
      <c r="AA43" s="102"/>
      <c r="AB43" s="73"/>
      <c r="AC43" s="73"/>
      <c r="AD43" s="102"/>
      <c r="AE43" s="73"/>
      <c r="AF43" s="102"/>
      <c r="AG43" s="81"/>
      <c r="AH43" s="102"/>
      <c r="AI43" s="81"/>
      <c r="AJ43" s="77"/>
      <c r="AK43" s="77"/>
      <c r="AL43" s="78"/>
      <c r="AM43" s="72" t="s">
        <v>48</v>
      </c>
    </row>
    <row r="44" spans="1:39" ht="19.5" customHeight="1" x14ac:dyDescent="0.35">
      <c r="A44" s="111"/>
      <c r="B44" s="72" t="s">
        <v>49</v>
      </c>
      <c r="C44" s="73"/>
      <c r="D44" s="73"/>
      <c r="E44" s="95"/>
      <c r="F44" s="92"/>
      <c r="G44" s="103" t="s">
        <v>137</v>
      </c>
      <c r="H44" s="103" t="s">
        <v>85</v>
      </c>
      <c r="I44" s="73"/>
      <c r="J44" s="73"/>
      <c r="K44" s="95"/>
      <c r="L44" s="106" t="s">
        <v>75</v>
      </c>
      <c r="M44" s="95"/>
      <c r="N44" s="95"/>
      <c r="O44" s="107" t="s">
        <v>51</v>
      </c>
      <c r="P44" s="101" t="s">
        <v>53</v>
      </c>
      <c r="Q44" s="95"/>
      <c r="R44" s="73"/>
      <c r="S44" s="104" t="s">
        <v>65</v>
      </c>
      <c r="T44" s="73"/>
      <c r="U44" s="73"/>
      <c r="V44" s="95"/>
      <c r="W44" s="109" t="s">
        <v>90</v>
      </c>
      <c r="X44" s="103" t="s">
        <v>60</v>
      </c>
      <c r="Y44" s="73"/>
      <c r="Z44" s="103" t="s">
        <v>40</v>
      </c>
      <c r="AA44" s="103" t="s">
        <v>61</v>
      </c>
      <c r="AB44" s="73"/>
      <c r="AC44" s="73"/>
      <c r="AD44" s="81"/>
      <c r="AE44" s="73"/>
      <c r="AF44" s="108" t="s">
        <v>81</v>
      </c>
      <c r="AG44" s="81"/>
      <c r="AH44" s="108" t="s">
        <v>44</v>
      </c>
      <c r="AI44" s="81"/>
      <c r="AJ44" s="77"/>
      <c r="AK44" s="77"/>
      <c r="AL44" s="78"/>
      <c r="AM44" s="72" t="s">
        <v>49</v>
      </c>
    </row>
    <row r="45" spans="1:39" ht="19.5" customHeight="1" x14ac:dyDescent="0.35">
      <c r="A45" s="111"/>
      <c r="B45" s="72" t="s">
        <v>55</v>
      </c>
      <c r="C45" s="73"/>
      <c r="D45" s="73"/>
      <c r="E45" s="95"/>
      <c r="F45" s="92"/>
      <c r="G45" s="102"/>
      <c r="H45" s="102"/>
      <c r="I45" s="73"/>
      <c r="J45" s="73"/>
      <c r="K45" s="95"/>
      <c r="L45" s="102"/>
      <c r="M45" s="95"/>
      <c r="N45" s="95"/>
      <c r="O45" s="102"/>
      <c r="P45" s="102"/>
      <c r="Q45" s="95"/>
      <c r="R45" s="73"/>
      <c r="S45" s="102"/>
      <c r="T45" s="73"/>
      <c r="U45" s="73"/>
      <c r="V45" s="95"/>
      <c r="W45" s="102"/>
      <c r="X45" s="102"/>
      <c r="Y45" s="73"/>
      <c r="Z45" s="102"/>
      <c r="AA45" s="102"/>
      <c r="AB45" s="73"/>
      <c r="AC45" s="73"/>
      <c r="AD45" s="81"/>
      <c r="AE45" s="73"/>
      <c r="AF45" s="102"/>
      <c r="AG45" s="81"/>
      <c r="AH45" s="102"/>
      <c r="AI45" s="81"/>
      <c r="AJ45" s="77"/>
      <c r="AK45" s="77"/>
      <c r="AL45" s="78"/>
      <c r="AM45" s="72" t="s">
        <v>55</v>
      </c>
    </row>
    <row r="46" spans="1:39" ht="19.5" customHeight="1" x14ac:dyDescent="0.35">
      <c r="A46" s="111"/>
      <c r="B46" s="69" t="s">
        <v>57</v>
      </c>
      <c r="C46" s="83"/>
      <c r="D46" s="83"/>
      <c r="E46" s="84"/>
      <c r="F46" s="83"/>
      <c r="G46" s="83"/>
      <c r="H46" s="83"/>
      <c r="I46" s="83"/>
      <c r="J46" s="83"/>
      <c r="K46" s="84"/>
      <c r="L46" s="84"/>
      <c r="M46" s="84"/>
      <c r="N46" s="84"/>
      <c r="O46" s="83"/>
      <c r="P46" s="83"/>
      <c r="Q46" s="83"/>
      <c r="R46" s="84"/>
      <c r="S46" s="84"/>
      <c r="T46" s="83"/>
      <c r="U46" s="84"/>
      <c r="V46" s="84"/>
      <c r="W46" s="84"/>
      <c r="X46" s="83"/>
      <c r="Y46" s="84"/>
      <c r="Z46" s="84"/>
      <c r="AA46" s="84"/>
      <c r="AB46" s="83"/>
      <c r="AC46" s="84"/>
      <c r="AD46" s="83"/>
      <c r="AE46" s="83"/>
      <c r="AF46" s="83"/>
      <c r="AG46" s="84"/>
      <c r="AH46" s="84"/>
      <c r="AI46" s="83"/>
      <c r="AJ46" s="77"/>
      <c r="AK46" s="77"/>
      <c r="AL46" s="78"/>
      <c r="AM46" s="69" t="s">
        <v>57</v>
      </c>
    </row>
    <row r="47" spans="1:39" ht="19.5" customHeight="1" x14ac:dyDescent="0.35">
      <c r="A47" s="111"/>
      <c r="B47" s="69" t="s">
        <v>58</v>
      </c>
      <c r="C47" s="83"/>
      <c r="D47" s="83"/>
      <c r="E47" s="84"/>
      <c r="F47" s="83"/>
      <c r="G47" s="83"/>
      <c r="H47" s="83"/>
      <c r="I47" s="83"/>
      <c r="J47" s="83"/>
      <c r="K47" s="84"/>
      <c r="L47" s="84"/>
      <c r="M47" s="84"/>
      <c r="N47" s="84"/>
      <c r="O47" s="83"/>
      <c r="P47" s="83"/>
      <c r="Q47" s="83"/>
      <c r="R47" s="84"/>
      <c r="S47" s="84"/>
      <c r="T47" s="83"/>
      <c r="U47" s="84"/>
      <c r="V47" s="84"/>
      <c r="W47" s="84"/>
      <c r="X47" s="83"/>
      <c r="Y47" s="84"/>
      <c r="Z47" s="84"/>
      <c r="AA47" s="84"/>
      <c r="AB47" s="83"/>
      <c r="AC47" s="84"/>
      <c r="AD47" s="83"/>
      <c r="AE47" s="83"/>
      <c r="AF47" s="83"/>
      <c r="AG47" s="84"/>
      <c r="AH47" s="84"/>
      <c r="AI47" s="83"/>
      <c r="AJ47" s="77"/>
      <c r="AK47" s="77"/>
      <c r="AL47" s="78"/>
      <c r="AM47" s="69" t="s">
        <v>58</v>
      </c>
    </row>
    <row r="48" spans="1:39" ht="19.5" customHeight="1" x14ac:dyDescent="0.35">
      <c r="A48" s="111"/>
      <c r="B48" s="72" t="s">
        <v>67</v>
      </c>
      <c r="C48" s="96"/>
      <c r="D48" s="73"/>
      <c r="E48" s="96"/>
      <c r="F48" s="104" t="s">
        <v>116</v>
      </c>
      <c r="G48" s="104" t="s">
        <v>131</v>
      </c>
      <c r="H48" s="73"/>
      <c r="I48" s="73"/>
      <c r="J48" s="73"/>
      <c r="K48" s="73"/>
      <c r="L48" s="73"/>
      <c r="M48" s="96"/>
      <c r="N48" s="106" t="s">
        <v>50</v>
      </c>
      <c r="O48" s="73"/>
      <c r="P48" s="73"/>
      <c r="Q48" s="81"/>
      <c r="R48" s="73"/>
      <c r="S48" s="73"/>
      <c r="T48" s="96"/>
      <c r="U48" s="73"/>
      <c r="V48" s="108" t="s">
        <v>40</v>
      </c>
      <c r="W48" s="81"/>
      <c r="X48" s="103" t="s">
        <v>63</v>
      </c>
      <c r="Y48" s="96"/>
      <c r="Z48" s="103" t="s">
        <v>61</v>
      </c>
      <c r="AA48" s="96"/>
      <c r="AB48" s="108" t="s">
        <v>89</v>
      </c>
      <c r="AC48" s="73"/>
      <c r="AD48" s="73"/>
      <c r="AE48" s="73"/>
      <c r="AF48" s="105" t="s">
        <v>76</v>
      </c>
      <c r="AG48" s="105" t="s">
        <v>47</v>
      </c>
      <c r="AH48" s="105" t="s">
        <v>59</v>
      </c>
      <c r="AI48" s="105" t="s">
        <v>46</v>
      </c>
      <c r="AJ48" s="77"/>
      <c r="AK48" s="77"/>
      <c r="AL48" s="78"/>
      <c r="AM48" s="72" t="s">
        <v>67</v>
      </c>
    </row>
    <row r="49" spans="1:39" ht="19.5" customHeight="1" x14ac:dyDescent="0.35">
      <c r="A49" s="111"/>
      <c r="B49" s="72" t="s">
        <v>68</v>
      </c>
      <c r="C49" s="95"/>
      <c r="D49" s="73"/>
      <c r="E49" s="95"/>
      <c r="F49" s="102"/>
      <c r="G49" s="102"/>
      <c r="H49" s="73"/>
      <c r="I49" s="73"/>
      <c r="J49" s="73"/>
      <c r="K49" s="73"/>
      <c r="L49" s="73"/>
      <c r="M49" s="95"/>
      <c r="N49" s="102"/>
      <c r="O49" s="73"/>
      <c r="P49" s="73"/>
      <c r="Q49" s="81"/>
      <c r="R49" s="73"/>
      <c r="S49" s="73"/>
      <c r="T49" s="95"/>
      <c r="U49" s="73"/>
      <c r="V49" s="102"/>
      <c r="W49" s="81"/>
      <c r="X49" s="102"/>
      <c r="Y49" s="95"/>
      <c r="Z49" s="102"/>
      <c r="AA49" s="95"/>
      <c r="AB49" s="102"/>
      <c r="AC49" s="73"/>
      <c r="AD49" s="73"/>
      <c r="AE49" s="73"/>
      <c r="AF49" s="102"/>
      <c r="AG49" s="102"/>
      <c r="AH49" s="102"/>
      <c r="AI49" s="102"/>
      <c r="AJ49" s="77"/>
      <c r="AK49" s="77"/>
      <c r="AL49" s="78"/>
      <c r="AM49" s="72" t="s">
        <v>68</v>
      </c>
    </row>
    <row r="50" spans="1:39" ht="19.5" customHeight="1" x14ac:dyDescent="0.35">
      <c r="A50" s="111"/>
      <c r="B50" s="72" t="s">
        <v>72</v>
      </c>
      <c r="C50" s="95"/>
      <c r="D50" s="73"/>
      <c r="E50" s="95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95"/>
      <c r="U50" s="73"/>
      <c r="V50" s="73"/>
      <c r="W50" s="73"/>
      <c r="X50" s="73"/>
      <c r="Y50" s="73"/>
      <c r="Z50" s="73"/>
      <c r="AA50" s="95"/>
      <c r="AB50" s="73"/>
      <c r="AC50" s="73"/>
      <c r="AD50" s="73"/>
      <c r="AE50" s="73"/>
      <c r="AF50" s="73"/>
      <c r="AG50" s="73"/>
      <c r="AH50" s="73"/>
      <c r="AI50" s="73"/>
      <c r="AJ50" s="77"/>
      <c r="AK50" s="77"/>
      <c r="AL50" s="78"/>
      <c r="AM50" s="72" t="s">
        <v>72</v>
      </c>
    </row>
    <row r="51" spans="1:39" ht="19.5" customHeight="1" x14ac:dyDescent="0.35">
      <c r="A51" s="111"/>
      <c r="B51" s="70" t="s">
        <v>73</v>
      </c>
      <c r="C51" s="79" t="s">
        <v>50</v>
      </c>
      <c r="D51" s="73"/>
      <c r="E51" s="95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6"/>
      <c r="AB51" s="73"/>
      <c r="AC51" s="73"/>
      <c r="AD51" s="73"/>
      <c r="AE51" s="73"/>
      <c r="AF51" s="73"/>
      <c r="AG51" s="73"/>
      <c r="AH51" s="73"/>
      <c r="AI51" s="73"/>
      <c r="AJ51" s="77"/>
      <c r="AK51" s="77"/>
      <c r="AL51" s="78"/>
      <c r="AM51" s="70" t="s">
        <v>73</v>
      </c>
    </row>
    <row r="52" spans="1:39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3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.7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1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 spans="1:39" ht="15.7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spans="1:39" ht="15.7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spans="1:39" ht="15.7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spans="1:39" ht="15.7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spans="1:39" ht="15.7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spans="1:39" ht="15.7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 spans="1:39" ht="15.7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spans="1:39" ht="15.7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 spans="1:39" ht="15.7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</row>
    <row r="92" spans="1:39" ht="15.7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</row>
    <row r="93" spans="1:39" ht="15.7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 spans="1:39" ht="15.7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 spans="1:39" ht="15.7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spans="1:39" ht="15.7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 spans="1:39" ht="15.7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spans="1:39" ht="15.7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 spans="1:39" ht="15.7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spans="1:39" ht="15.7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spans="1:39" ht="15.7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spans="1:39" ht="15.7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spans="1:39" ht="15.7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spans="1:39" ht="15.7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spans="1:39" ht="15.7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spans="1:39" ht="15.7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spans="1:39" ht="15.7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spans="1:39" ht="15.7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 spans="1:39" ht="15.7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 spans="1:39" ht="15.7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 spans="1:39" ht="15.7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 spans="1:39" ht="15.7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</row>
    <row r="113" spans="1:39" ht="15.7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</row>
    <row r="114" spans="1:39" ht="15.7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</row>
    <row r="115" spans="1:39" ht="15.7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</row>
    <row r="116" spans="1:39" ht="15.7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</row>
    <row r="117" spans="1:39" ht="15.7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</row>
    <row r="118" spans="1:39" ht="15.7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</row>
    <row r="119" spans="1:39" ht="15.7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</row>
    <row r="120" spans="1:39" ht="15.7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</row>
    <row r="121" spans="1:39" ht="15.7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</row>
    <row r="122" spans="1:39" ht="15.7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</row>
    <row r="123" spans="1:39" ht="15.7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</row>
    <row r="124" spans="1:39" ht="15.7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</row>
    <row r="125" spans="1:39" ht="15.7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</row>
    <row r="126" spans="1:39" ht="15.7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</row>
    <row r="127" spans="1:39" ht="15.7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</row>
    <row r="128" spans="1:39" ht="15.7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</row>
    <row r="129" spans="1:39" ht="15.7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 spans="1:39" ht="15.7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 spans="1:39" ht="15.7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 spans="1:39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</row>
    <row r="133" spans="1:39" ht="15.7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</row>
    <row r="134" spans="1:39" ht="15.7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</row>
    <row r="135" spans="1:39" ht="15.7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</row>
    <row r="136" spans="1:39" ht="15.7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</row>
    <row r="137" spans="1:39" ht="15.7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 spans="1:39" ht="15.7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</row>
    <row r="139" spans="1:39" ht="15.7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</row>
    <row r="140" spans="1:39" ht="15.7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</row>
    <row r="141" spans="1:39" ht="15.7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spans="1:39" ht="15.7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</row>
    <row r="143" spans="1:39" ht="15.7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 spans="1:39" ht="15.7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</row>
    <row r="145" spans="1:39" ht="15.7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</row>
    <row r="146" spans="1:39" ht="15.7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</row>
    <row r="147" spans="1:39" ht="15.7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</row>
    <row r="148" spans="1:39" ht="15.7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</row>
    <row r="149" spans="1:39" ht="15.7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 spans="1:39" ht="15.7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</row>
    <row r="151" spans="1:39" ht="15.7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 spans="1:39" ht="15.7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</row>
    <row r="153" spans="1:39" ht="15.7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</row>
    <row r="154" spans="1:39" ht="15.7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</row>
    <row r="155" spans="1:39" ht="15.7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 spans="1:39" ht="15.7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</row>
    <row r="157" spans="1:39" ht="15.7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</row>
    <row r="158" spans="1:39" ht="15.7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</row>
    <row r="159" spans="1:39" ht="15.7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</row>
    <row r="160" spans="1:39" ht="15.7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</row>
    <row r="161" spans="1:39" ht="15.7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</row>
    <row r="162" spans="1:39" ht="15.7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</row>
    <row r="163" spans="1:39" ht="15.7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 spans="1:39" ht="15.7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</row>
    <row r="165" spans="1:39" ht="15.7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spans="1:39" ht="15.7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</row>
    <row r="167" spans="1:39" ht="15.7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  <row r="168" spans="1:39" ht="15.7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</row>
    <row r="169" spans="1:39" ht="15.7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 spans="1:39" ht="15.7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</row>
    <row r="171" spans="1:39" ht="15.7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</row>
    <row r="172" spans="1:39" ht="15.7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</row>
    <row r="173" spans="1:39" ht="15.7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 spans="1:39" ht="15.7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</row>
    <row r="175" spans="1:39" ht="15.7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</row>
    <row r="176" spans="1:39" ht="15.7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</row>
    <row r="177" spans="1:39" ht="15.7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</row>
    <row r="178" spans="1:39" ht="15.7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</row>
    <row r="179" spans="1:39" ht="15.7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</row>
    <row r="180" spans="1:39" ht="15.7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</row>
    <row r="181" spans="1:39" ht="15.7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</row>
    <row r="182" spans="1:39" ht="15.7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</row>
    <row r="183" spans="1:39" ht="15.7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</row>
    <row r="184" spans="1:39" ht="15.7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</row>
    <row r="185" spans="1:39" ht="15.7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</row>
    <row r="186" spans="1:39" ht="15.7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</row>
    <row r="187" spans="1:39" ht="15.7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</row>
    <row r="188" spans="1:39" ht="15.7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</row>
    <row r="189" spans="1:39" ht="15.7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 spans="1:39" ht="15.7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</row>
    <row r="191" spans="1:39" ht="15.7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</row>
    <row r="192" spans="1:39" ht="15.7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 spans="1:39" ht="15.7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</row>
    <row r="194" spans="1:39" ht="15.7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</row>
    <row r="195" spans="1:39" ht="15.7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</row>
    <row r="196" spans="1:39" ht="15.7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</row>
    <row r="197" spans="1:39" ht="15.7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</row>
    <row r="198" spans="1:39" ht="15.7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</row>
    <row r="199" spans="1:39" ht="15.7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</row>
    <row r="200" spans="1:39" ht="15.7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</row>
    <row r="201" spans="1:39" ht="15.7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</row>
    <row r="202" spans="1:39" ht="15.7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</row>
    <row r="203" spans="1:39" ht="15.7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</row>
    <row r="204" spans="1:39" ht="15.7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</row>
    <row r="205" spans="1:39" ht="15.7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</row>
    <row r="206" spans="1:39" ht="15.7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</row>
    <row r="207" spans="1:39" ht="15.7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 spans="1:39" ht="15.7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 spans="1:39" ht="15.7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  <row r="210" spans="1:39" ht="15.7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</row>
    <row r="211" spans="1:39" ht="15.7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</row>
    <row r="212" spans="1:39" ht="15.7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</row>
    <row r="213" spans="1:39" ht="15.7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</row>
    <row r="214" spans="1:39" ht="15.7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</row>
    <row r="215" spans="1:39" ht="15.7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</row>
    <row r="216" spans="1:39" ht="15.7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</row>
    <row r="217" spans="1:39" ht="15.7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</row>
    <row r="218" spans="1:39" ht="15.7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</row>
    <row r="219" spans="1:39" ht="15.7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</row>
    <row r="220" spans="1:39" ht="15.7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</row>
    <row r="221" spans="1:39" ht="15.75" customHeigh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</row>
    <row r="222" spans="1:39" ht="15.75" customHeigh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</row>
    <row r="223" spans="1:39" ht="15.75" customHeigh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</row>
    <row r="224" spans="1:39" ht="15.75" customHeigh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</row>
    <row r="225" spans="1:39" ht="15.75" customHeigh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</row>
    <row r="226" spans="1:39" ht="15.75" customHeigh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</row>
    <row r="227" spans="1:39" ht="15.75" customHeigh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</row>
    <row r="228" spans="1:39" ht="15.75" customHeigh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</row>
    <row r="229" spans="1:39" ht="15.75" customHeigh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</row>
    <row r="230" spans="1:39" ht="15.75" customHeigh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</row>
    <row r="231" spans="1:39" ht="15.75" customHeigh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</row>
    <row r="232" spans="1:39" ht="15.75" customHeigh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</row>
    <row r="233" spans="1:39" ht="15.75" customHeigh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</row>
    <row r="234" spans="1:39" ht="15.75" customHeigh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</row>
    <row r="235" spans="1:39" ht="15.75" customHeigh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</row>
    <row r="236" spans="1:39" ht="15.75" customHeigh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</row>
    <row r="237" spans="1:39" ht="15.75" customHeigh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</row>
    <row r="238" spans="1:39" ht="15.75" customHeigh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</row>
    <row r="239" spans="1:39" ht="15.75" customHeigh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</row>
    <row r="240" spans="1:39" ht="15.75" customHeigh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</row>
    <row r="241" spans="1:39" ht="15.75" customHeigh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</row>
    <row r="242" spans="1:39" ht="15.75" customHeigh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</row>
    <row r="243" spans="1:39" ht="15.75" customHeigh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</row>
    <row r="244" spans="1:39" ht="15.75" customHeigh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</row>
    <row r="245" spans="1:39" ht="15.75" customHeigh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</row>
    <row r="246" spans="1:39" ht="15.75" customHeigh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</row>
    <row r="247" spans="1:39" ht="15.75" customHeigh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</row>
    <row r="248" spans="1:39" ht="15.75" customHeigh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</row>
    <row r="249" spans="1:39" ht="15.75" customHeigh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</row>
    <row r="250" spans="1:39" ht="15.75" customHeigh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</row>
    <row r="251" spans="1:39" ht="15.75" customHeigh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</row>
    <row r="252" spans="1:39" ht="15.75" customHeight="1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5.75" customHeight="1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5.75" customHeight="1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5.75" customHeight="1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5.75" customHeight="1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5.75" customHeight="1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5.75" customHeight="1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5.75" customHeight="1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5.75" customHeight="1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5.75" customHeight="1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5.75" customHeight="1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5.75" customHeight="1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5.75" customHeight="1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5.75" customHeight="1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5.75" customHeight="1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5.75" customHeight="1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5.75" customHeight="1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5.75" customHeight="1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5.75" customHeight="1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5.75" customHeight="1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5.75" customHeight="1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5.75" customHeight="1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5.75" customHeight="1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5.75" customHeight="1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5.75" customHeight="1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5.75" customHeight="1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5.75" customHeight="1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5.75" customHeight="1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5.75" customHeight="1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5.75" customHeight="1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5.75" customHeight="1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5.75" customHeight="1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5.75" customHeight="1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5.75" customHeight="1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5.75" customHeight="1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5.75" customHeight="1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5.75" customHeight="1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5.75" customHeight="1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5.75" customHeight="1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5.75" customHeight="1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5.75" customHeight="1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5.75" customHeight="1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5.75" customHeight="1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5.75" customHeight="1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5.75" customHeight="1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5.75" customHeight="1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5.75" customHeight="1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5.75" customHeight="1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5.75" customHeight="1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5.75" customHeight="1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5.75" customHeight="1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5.75" customHeight="1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5.75" customHeight="1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5.75" customHeight="1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5.75" customHeight="1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5.75" customHeight="1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5.75" customHeight="1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5.75" customHeight="1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5.75" customHeight="1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5.75" customHeight="1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5.75" customHeight="1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5.75" customHeight="1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5.75" customHeight="1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5.75" customHeight="1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5.75" customHeight="1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5.75" customHeight="1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5.75" customHeight="1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5.75" customHeight="1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5.75" customHeight="1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5.75" customHeight="1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5.75" customHeight="1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5.75" customHeight="1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5.75" customHeight="1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5.75" customHeight="1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5.75" customHeight="1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5.75" customHeight="1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5.75" customHeight="1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5.75" customHeight="1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5.75" customHeight="1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5.75" customHeight="1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5.75" customHeight="1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5.75" customHeight="1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5.75" customHeight="1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5.75" customHeight="1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5.75" customHeight="1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5.75" customHeight="1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5.75" customHeight="1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5.75" customHeight="1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5.75" customHeight="1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5.75" customHeight="1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5.75" customHeight="1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5.75" customHeight="1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5.75" customHeight="1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5.75" customHeight="1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5.75" customHeight="1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5.75" customHeight="1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5.75" customHeight="1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5.75" customHeight="1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5.75" customHeight="1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5.75" customHeight="1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5.75" customHeight="1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5.75" customHeight="1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5.75" customHeight="1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5.75" customHeight="1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5.75" customHeight="1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5.75" customHeight="1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5.75" customHeight="1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5.75" customHeight="1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5.75" customHeight="1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5.75" customHeight="1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5.75" customHeight="1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5.75" customHeight="1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5.75" customHeight="1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5.75" customHeight="1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5.75" customHeight="1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5.75" customHeight="1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5.75" customHeight="1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5.75" customHeight="1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5.75" customHeight="1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5.75" customHeight="1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5.75" customHeight="1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5.75" customHeight="1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5.75" customHeight="1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5.75" customHeight="1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5.75" customHeight="1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5.75" customHeight="1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5.75" customHeight="1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5.75" customHeight="1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5.75" customHeight="1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5.75" customHeight="1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5.75" customHeight="1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5.75" customHeight="1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5.75" customHeight="1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5.75" customHeight="1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5.75" customHeight="1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5.75" customHeight="1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5.75" customHeight="1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5.75" customHeight="1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5.75" customHeight="1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5.75" customHeight="1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5.75" customHeight="1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5.75" customHeight="1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5.75" customHeight="1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5.75" customHeight="1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5.75" customHeight="1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5.75" customHeight="1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5.75" customHeight="1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5.75" customHeight="1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5.75" customHeight="1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5.75" customHeight="1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5.75" customHeight="1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5.75" customHeight="1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5.75" customHeight="1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5.75" customHeight="1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5.75" customHeight="1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5.75" customHeight="1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5.75" customHeight="1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5.75" customHeight="1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5.75" customHeight="1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5.75" customHeight="1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5.75" customHeight="1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5.75" customHeight="1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5.75" customHeight="1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5.75" customHeight="1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5.75" customHeight="1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5.75" customHeight="1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5.75" customHeight="1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5.75" customHeight="1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5.75" customHeight="1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5.75" customHeight="1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5.75" customHeight="1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5.75" customHeight="1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5.75" customHeight="1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5.75" customHeight="1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5.75" customHeight="1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5.75" customHeight="1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5.75" customHeight="1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5.75" customHeight="1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5.75" customHeight="1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5.75" customHeight="1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5.75" customHeight="1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5.75" customHeight="1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5.75" customHeight="1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5.75" customHeight="1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5.75" customHeight="1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5.75" customHeight="1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5.75" customHeight="1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5.75" customHeight="1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5.75" customHeight="1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5.75" customHeight="1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5.75" customHeight="1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5.75" customHeight="1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5.75" customHeight="1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5.75" customHeight="1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5.75" customHeight="1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5.75" customHeight="1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5.75" customHeight="1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5.75" customHeight="1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5.75" customHeight="1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5.75" customHeight="1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5.75" customHeight="1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5.75" customHeight="1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5.75" customHeight="1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5.75" customHeight="1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5.75" customHeight="1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5.75" customHeight="1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5.75" customHeight="1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5.75" customHeight="1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5.75" customHeight="1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5.75" customHeight="1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5.75" customHeight="1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5.75" customHeight="1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5.75" customHeight="1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5.75" customHeight="1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5.75" customHeight="1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5.75" customHeight="1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5.75" customHeight="1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5.75" customHeight="1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5.75" customHeight="1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5.75" customHeight="1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5.75" customHeight="1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5.75" customHeight="1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5.75" customHeight="1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5.75" customHeight="1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5.75" customHeight="1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5.75" customHeight="1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5.75" customHeight="1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5.75" customHeight="1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5.75" customHeight="1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5.75" customHeight="1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5.75" customHeight="1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5.75" customHeight="1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5.75" customHeight="1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5.75" customHeight="1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5.75" customHeight="1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5.75" customHeight="1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5.75" customHeight="1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5.75" customHeight="1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5.75" customHeight="1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5.75" customHeight="1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5.75" customHeight="1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5.75" customHeight="1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5.75" customHeight="1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5.75" customHeight="1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5.75" customHeight="1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5.75" customHeight="1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5.75" customHeight="1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5.75" customHeight="1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5.75" customHeight="1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5.75" customHeight="1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5.75" customHeight="1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5.75" customHeight="1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5.75" customHeight="1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5.75" customHeight="1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5.75" customHeight="1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5.75" customHeight="1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5.75" customHeight="1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5.75" customHeight="1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5.75" customHeight="1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5.75" customHeight="1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5.75" customHeight="1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5.75" customHeight="1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5.75" customHeight="1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5.75" customHeight="1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5.75" customHeight="1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5.75" customHeight="1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5.75" customHeight="1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5.75" customHeight="1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5.75" customHeight="1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5.75" customHeight="1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5.75" customHeight="1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5.75" customHeight="1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5.75" customHeight="1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5.75" customHeight="1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5.75" customHeight="1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5.75" customHeight="1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5.75" customHeight="1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5.75" customHeight="1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5.75" customHeight="1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5.75" customHeight="1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5.75" customHeight="1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5.75" customHeight="1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5.75" customHeight="1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5.75" customHeight="1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5.75" customHeight="1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5.75" customHeight="1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5.75" customHeight="1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5.75" customHeight="1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5.75" customHeight="1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5.75" customHeight="1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5.75" customHeight="1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5.75" customHeight="1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5.75" customHeight="1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5.75" customHeight="1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5.75" customHeight="1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5.75" customHeight="1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5.75" customHeight="1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5.75" customHeight="1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5.75" customHeight="1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5.75" customHeight="1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5.75" customHeight="1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5.75" customHeight="1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5.75" customHeight="1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5.75" customHeight="1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5.75" customHeight="1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5.75" customHeight="1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5.75" customHeight="1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5.75" customHeight="1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5.75" customHeight="1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5.75" customHeight="1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5.75" customHeight="1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5.75" customHeight="1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5.75" customHeight="1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5.75" customHeight="1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5.75" customHeight="1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5.75" customHeight="1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5.75" customHeight="1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5.75" customHeight="1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5.75" customHeight="1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5.75" customHeight="1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5.75" customHeight="1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5.75" customHeight="1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5.75" customHeight="1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5.75" customHeight="1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5.75" customHeight="1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5.75" customHeight="1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5.75" customHeight="1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5.75" customHeight="1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5.75" customHeight="1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5.75" customHeight="1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5.75" customHeight="1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5.75" customHeight="1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5.75" customHeight="1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5.75" customHeight="1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5.75" customHeight="1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5.75" customHeight="1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5.75" customHeight="1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5.75" customHeight="1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5.75" customHeight="1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5.75" customHeight="1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5.75" customHeight="1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5.75" customHeight="1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5.75" customHeight="1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5.75" customHeight="1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5.75" customHeight="1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5.75" customHeight="1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5.75" customHeight="1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5.75" customHeight="1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5.75" customHeight="1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5.75" customHeight="1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5.75" customHeight="1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5.75" customHeight="1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5.75" customHeight="1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5.75" customHeight="1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5.75" customHeight="1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5.75" customHeight="1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5.75" customHeight="1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5.75" customHeight="1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5.75" customHeight="1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5.75" customHeight="1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5.75" customHeight="1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5.75" customHeight="1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5.75" customHeight="1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5.75" customHeight="1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5.75" customHeight="1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5.75" customHeight="1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5.75" customHeight="1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5.75" customHeight="1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5.75" customHeight="1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5.75" customHeight="1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5.75" customHeight="1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5.75" customHeight="1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5.75" customHeight="1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5.75" customHeight="1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5.75" customHeight="1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5.75" customHeight="1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5.75" customHeight="1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5.75" customHeight="1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5.75" customHeight="1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5.75" customHeight="1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5.75" customHeight="1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5.75" customHeight="1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5.75" customHeight="1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5.75" customHeight="1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5.75" customHeight="1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5.75" customHeight="1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5.75" customHeight="1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5.75" customHeight="1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5.75" customHeight="1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5.75" customHeight="1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5.75" customHeight="1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5.75" customHeight="1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5.75" customHeight="1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5.75" customHeight="1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5.75" customHeight="1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5.75" customHeight="1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5.75" customHeight="1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5.75" customHeight="1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5.75" customHeight="1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5.75" customHeight="1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5.75" customHeight="1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5.75" customHeight="1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5.75" customHeight="1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5.75" customHeight="1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5.75" customHeight="1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5.75" customHeight="1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5.75" customHeight="1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5.75" customHeight="1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5.75" customHeight="1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5.75" customHeight="1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5.75" customHeight="1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5.75" customHeight="1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5.75" customHeight="1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5.75" customHeight="1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5.75" customHeight="1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5.75" customHeight="1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5.75" customHeight="1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5.75" customHeight="1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5.75" customHeight="1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5.75" customHeight="1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5.75" customHeight="1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5.75" customHeight="1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5.75" customHeight="1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5.75" customHeight="1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5.75" customHeight="1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5.75" customHeight="1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5.75" customHeight="1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5.75" customHeight="1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5.75" customHeight="1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5.75" customHeight="1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5.75" customHeight="1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5.75" customHeight="1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5.75" customHeight="1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5.75" customHeight="1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5.75" customHeight="1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5.75" customHeight="1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5.75" customHeight="1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5.75" customHeight="1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5.75" customHeight="1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5.75" customHeight="1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5.75" customHeight="1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5.75" customHeight="1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5.75" customHeight="1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5.75" customHeight="1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5.75" customHeight="1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5.75" customHeight="1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5.75" customHeight="1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5.75" customHeight="1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5.75" customHeight="1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5.75" customHeight="1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5.75" customHeight="1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5.75" customHeight="1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5.75" customHeight="1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5.75" customHeight="1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5.75" customHeight="1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5.75" customHeight="1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5.75" customHeight="1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5.75" customHeight="1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5.75" customHeight="1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5.75" customHeight="1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5.75" customHeight="1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5.75" customHeight="1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5.75" customHeight="1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5.75" customHeight="1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5.75" customHeight="1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5.75" customHeight="1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5.75" customHeight="1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5.75" customHeight="1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5.75" customHeight="1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5.75" customHeight="1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5.75" customHeight="1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5.75" customHeight="1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5.75" customHeight="1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5.75" customHeight="1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5.75" customHeight="1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5.75" customHeight="1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5.75" customHeight="1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5.75" customHeight="1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5.75" customHeight="1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5.75" customHeight="1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5.75" customHeight="1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5.75" customHeight="1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5.75" customHeight="1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5.75" customHeight="1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5.75" customHeight="1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5.75" customHeight="1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5.75" customHeight="1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5.75" customHeight="1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5.75" customHeight="1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5.75" customHeight="1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5.75" customHeight="1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5.75" customHeight="1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5.75" customHeight="1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5.75" customHeight="1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5.75" customHeight="1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5.75" customHeight="1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5.75" customHeight="1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5.75" customHeight="1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5.75" customHeight="1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5.75" customHeight="1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5.75" customHeight="1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5.75" customHeight="1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5.75" customHeight="1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5.75" customHeight="1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5.75" customHeight="1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5.75" customHeight="1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5.75" customHeight="1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5.75" customHeight="1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5.75" customHeight="1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5.75" customHeight="1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5.75" customHeight="1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5.75" customHeight="1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5.75" customHeight="1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5.75" customHeight="1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5.75" customHeight="1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5.75" customHeight="1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5.75" customHeight="1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5.75" customHeight="1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5.75" customHeight="1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5.75" customHeight="1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5.75" customHeight="1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5.75" customHeight="1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5.75" customHeight="1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5.75" customHeight="1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5.75" customHeight="1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5.75" customHeight="1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5.75" customHeight="1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5.75" customHeight="1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5.75" customHeight="1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5.75" customHeight="1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5.75" customHeight="1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5.75" customHeight="1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5.75" customHeight="1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5.75" customHeight="1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5.75" customHeight="1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5.75" customHeight="1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5.75" customHeight="1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5.75" customHeight="1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5.75" customHeight="1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5.75" customHeight="1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5.75" customHeight="1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5.75" customHeight="1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5.75" customHeight="1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5.75" customHeight="1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5.75" customHeight="1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5.75" customHeight="1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5.75" customHeight="1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5.75" customHeight="1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5.75" customHeight="1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5.75" customHeight="1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5.75" customHeight="1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5.75" customHeight="1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5.75" customHeight="1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5.75" customHeight="1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5.75" customHeight="1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5.75" customHeight="1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5.75" customHeight="1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5.75" customHeight="1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5.75" customHeight="1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5.75" customHeight="1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5.75" customHeight="1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5.75" customHeight="1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5.75" customHeight="1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5.75" customHeight="1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5.75" customHeight="1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5.75" customHeight="1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5.75" customHeight="1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5.75" customHeight="1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5.75" customHeight="1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5.75" customHeight="1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5.75" customHeight="1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5.75" customHeight="1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5.75" customHeight="1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5.75" customHeight="1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5.75" customHeight="1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5.75" customHeight="1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5.75" customHeight="1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5.75" customHeight="1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5.75" customHeight="1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5.75" customHeight="1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5.75" customHeight="1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5.75" customHeight="1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5.75" customHeight="1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5.75" customHeight="1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5.75" customHeight="1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5.75" customHeight="1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5.75" customHeight="1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5.75" customHeight="1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5.75" customHeight="1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5.75" customHeight="1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5.75" customHeight="1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5.75" customHeight="1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5.75" customHeight="1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5.75" customHeight="1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5.75" customHeight="1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5.75" customHeight="1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5.75" customHeight="1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5.75" customHeight="1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5.75" customHeight="1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5.75" customHeight="1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5.75" customHeight="1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5.75" customHeight="1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5.75" customHeight="1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5.75" customHeight="1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5.75" customHeight="1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5.75" customHeight="1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5.75" customHeight="1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5.75" customHeight="1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5.75" customHeight="1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5.75" customHeight="1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5.75" customHeight="1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5.75" customHeight="1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5.75" customHeight="1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5.75" customHeight="1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5.75" customHeight="1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5.75" customHeight="1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5.75" customHeight="1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5.75" customHeight="1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5.75" customHeight="1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5.75" customHeight="1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5.75" customHeight="1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5.75" customHeight="1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5.75" customHeight="1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5.75" customHeight="1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5.75" customHeight="1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5.75" customHeight="1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5.75" customHeight="1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5.75" customHeight="1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5.75" customHeight="1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5.75" customHeight="1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5.75" customHeight="1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5.75" customHeight="1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5.75" customHeight="1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5.75" customHeight="1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5.75" customHeight="1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5.75" customHeight="1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5.75" customHeight="1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5.75" customHeight="1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5.75" customHeight="1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5.75" customHeight="1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5.75" customHeight="1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5.75" customHeight="1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5.75" customHeight="1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5.75" customHeight="1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5.75" customHeight="1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5.75" customHeight="1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5.75" customHeight="1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5.75" customHeight="1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5.75" customHeight="1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5.75" customHeight="1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5.75" customHeight="1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5.75" customHeight="1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5.75" customHeight="1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5.75" customHeight="1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5.75" customHeight="1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5.75" customHeight="1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5.75" customHeight="1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5.75" customHeight="1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5.75" customHeight="1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5.75" customHeight="1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5.75" customHeight="1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5.75" customHeight="1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5.75" customHeight="1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5.75" customHeight="1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5.75" customHeight="1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5.75" customHeight="1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5.75" customHeight="1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5.75" customHeight="1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5.75" customHeight="1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5.75" customHeight="1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5.75" customHeight="1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5.75" customHeight="1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5.75" customHeight="1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5.75" customHeight="1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5.75" customHeight="1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5.75" customHeight="1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5.75" customHeight="1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5.75" customHeight="1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5.75" customHeight="1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5.75" customHeight="1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5.75" customHeight="1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5.75" customHeight="1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5.75" customHeight="1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5.75" customHeight="1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5.75" customHeight="1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5.75" customHeight="1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5.75" customHeight="1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5.75" customHeight="1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5.75" customHeight="1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5.75" customHeight="1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5.75" customHeight="1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5.75" customHeight="1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5.75" customHeight="1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5.75" customHeight="1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5.75" customHeight="1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5.75" customHeight="1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5.75" customHeight="1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5.75" customHeight="1" x14ac:dyDescent="0.3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5.75" customHeight="1" x14ac:dyDescent="0.3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5.75" customHeight="1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5.75" customHeight="1" x14ac:dyDescent="0.3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5.75" customHeight="1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5.75" customHeight="1" x14ac:dyDescent="0.3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5.75" customHeight="1" x14ac:dyDescent="0.3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5.75" customHeight="1" x14ac:dyDescent="0.3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5.75" customHeight="1" x14ac:dyDescent="0.3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5.75" customHeight="1" x14ac:dyDescent="0.3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5.75" customHeight="1" x14ac:dyDescent="0.3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5.75" customHeight="1" x14ac:dyDescent="0.3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5.75" customHeight="1" x14ac:dyDescent="0.3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5.75" customHeight="1" x14ac:dyDescent="0.3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5.75" customHeight="1" x14ac:dyDescent="0.3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5.75" customHeight="1" x14ac:dyDescent="0.3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5.75" customHeight="1" x14ac:dyDescent="0.3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5.75" customHeight="1" x14ac:dyDescent="0.3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5.75" customHeight="1" x14ac:dyDescent="0.3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5.75" customHeight="1" x14ac:dyDescent="0.3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5.75" customHeight="1" x14ac:dyDescent="0.3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5.75" customHeight="1" x14ac:dyDescent="0.3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5.75" customHeight="1" x14ac:dyDescent="0.3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5.75" customHeight="1" x14ac:dyDescent="0.3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5.75" customHeight="1" x14ac:dyDescent="0.3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5.75" customHeight="1" x14ac:dyDescent="0.3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5.75" customHeight="1" x14ac:dyDescent="0.3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5.75" customHeight="1" x14ac:dyDescent="0.3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5.75" customHeight="1" x14ac:dyDescent="0.3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5.75" customHeight="1" x14ac:dyDescent="0.3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5.75" customHeight="1" x14ac:dyDescent="0.3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5.75" customHeight="1" x14ac:dyDescent="0.3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5.75" customHeight="1" x14ac:dyDescent="0.3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5.75" customHeight="1" x14ac:dyDescent="0.3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5.75" customHeight="1" x14ac:dyDescent="0.3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5.75" customHeight="1" x14ac:dyDescent="0.3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5.75" customHeight="1" x14ac:dyDescent="0.3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5.75" customHeight="1" x14ac:dyDescent="0.3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5.75" customHeight="1" x14ac:dyDescent="0.3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5.75" customHeight="1" x14ac:dyDescent="0.3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5.75" customHeight="1" x14ac:dyDescent="0.3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5.75" customHeight="1" x14ac:dyDescent="0.3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5.75" customHeight="1" x14ac:dyDescent="0.3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5.75" customHeight="1" x14ac:dyDescent="0.3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5.75" customHeight="1" x14ac:dyDescent="0.3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5.75" customHeight="1" x14ac:dyDescent="0.3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5.75" customHeight="1" x14ac:dyDescent="0.3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5.75" customHeight="1" x14ac:dyDescent="0.3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5.75" customHeight="1" x14ac:dyDescent="0.3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5.75" customHeight="1" x14ac:dyDescent="0.3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5.75" customHeight="1" x14ac:dyDescent="0.3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5.75" customHeight="1" x14ac:dyDescent="0.3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</sheetData>
  <mergeCells count="205">
    <mergeCell ref="AA39:AA40"/>
    <mergeCell ref="W37:W38"/>
    <mergeCell ref="X37:X38"/>
    <mergeCell ref="AA37:AA38"/>
    <mergeCell ref="S37:S38"/>
    <mergeCell ref="V37:V38"/>
    <mergeCell ref="I17:I18"/>
    <mergeCell ref="L17:L18"/>
    <mergeCell ref="O17:O18"/>
    <mergeCell ref="N19:N20"/>
    <mergeCell ref="I19:I20"/>
    <mergeCell ref="M23:M24"/>
    <mergeCell ref="W23:W24"/>
    <mergeCell ref="O24:O25"/>
    <mergeCell ref="T24:T25"/>
    <mergeCell ref="X24:X25"/>
    <mergeCell ref="S17:S18"/>
    <mergeCell ref="S19:S20"/>
    <mergeCell ref="W17:W18"/>
    <mergeCell ref="W19:W20"/>
    <mergeCell ref="Q17:Q18"/>
    <mergeCell ref="P17:P18"/>
    <mergeCell ref="P19:P20"/>
    <mergeCell ref="E12:E13"/>
    <mergeCell ref="F12:F13"/>
    <mergeCell ref="G12:G13"/>
    <mergeCell ref="H12:H13"/>
    <mergeCell ref="F14:F15"/>
    <mergeCell ref="A12:A21"/>
    <mergeCell ref="A22:A31"/>
    <mergeCell ref="A32:A41"/>
    <mergeCell ref="G34:G35"/>
    <mergeCell ref="F39:F40"/>
    <mergeCell ref="G39:G40"/>
    <mergeCell ref="H39:H40"/>
    <mergeCell ref="G32:G33"/>
    <mergeCell ref="H32:H33"/>
    <mergeCell ref="H34:H35"/>
    <mergeCell ref="E37:E38"/>
    <mergeCell ref="G37:G38"/>
    <mergeCell ref="H37:H38"/>
    <mergeCell ref="E32:E33"/>
    <mergeCell ref="E34:E35"/>
    <mergeCell ref="H17:H18"/>
    <mergeCell ref="H19:H20"/>
    <mergeCell ref="E22:E23"/>
    <mergeCell ref="F22:F23"/>
    <mergeCell ref="G22:G23"/>
    <mergeCell ref="H22:H23"/>
    <mergeCell ref="I22:I23"/>
    <mergeCell ref="F24:F25"/>
    <mergeCell ref="G24:G25"/>
    <mergeCell ref="G44:G45"/>
    <mergeCell ref="H44:H45"/>
    <mergeCell ref="F27:F28"/>
    <mergeCell ref="G27:G28"/>
    <mergeCell ref="H27:H28"/>
    <mergeCell ref="I27:I28"/>
    <mergeCell ref="F34:F35"/>
    <mergeCell ref="I37:I38"/>
    <mergeCell ref="F42:F43"/>
    <mergeCell ref="G42:G43"/>
    <mergeCell ref="H42:H43"/>
    <mergeCell ref="I42:I43"/>
    <mergeCell ref="I39:I40"/>
    <mergeCell ref="I32:I33"/>
    <mergeCell ref="AF48:AF49"/>
    <mergeCell ref="AG48:AG49"/>
    <mergeCell ref="AH48:AH49"/>
    <mergeCell ref="AI48:AI49"/>
    <mergeCell ref="V48:V49"/>
    <mergeCell ref="X48:X49"/>
    <mergeCell ref="Z48:Z49"/>
    <mergeCell ref="A42:A51"/>
    <mergeCell ref="H24:H25"/>
    <mergeCell ref="I24:I25"/>
    <mergeCell ref="F48:F49"/>
    <mergeCell ref="G48:G49"/>
    <mergeCell ref="AH42:AH43"/>
    <mergeCell ref="AH44:AH45"/>
    <mergeCell ref="AF42:AF43"/>
    <mergeCell ref="AF44:AF45"/>
    <mergeCell ref="AD37:AD38"/>
    <mergeCell ref="AE37:AE38"/>
    <mergeCell ref="AD42:AD43"/>
    <mergeCell ref="Z42:Z43"/>
    <mergeCell ref="Z44:Z45"/>
    <mergeCell ref="U42:U43"/>
    <mergeCell ref="X42:X43"/>
    <mergeCell ref="AA42:AA43"/>
    <mergeCell ref="V2:V3"/>
    <mergeCell ref="S2:S3"/>
    <mergeCell ref="W2:W3"/>
    <mergeCell ref="AC2:AC3"/>
    <mergeCell ref="S44:S45"/>
    <mergeCell ref="N48:N49"/>
    <mergeCell ref="K37:K38"/>
    <mergeCell ref="K39:K40"/>
    <mergeCell ref="L44:L45"/>
    <mergeCell ref="O44:O45"/>
    <mergeCell ref="Q39:Q40"/>
    <mergeCell ref="R39:R40"/>
    <mergeCell ref="P42:P43"/>
    <mergeCell ref="R42:R43"/>
    <mergeCell ref="P44:P45"/>
    <mergeCell ref="AB48:AB49"/>
    <mergeCell ref="W44:W45"/>
    <mergeCell ref="X44:X45"/>
    <mergeCell ref="AA44:AA45"/>
    <mergeCell ref="Q37:Q38"/>
    <mergeCell ref="R37:R38"/>
    <mergeCell ref="X39:X40"/>
    <mergeCell ref="N22:N23"/>
    <mergeCell ref="O22:O23"/>
    <mergeCell ref="AH9:AH10"/>
    <mergeCell ref="AG12:AG13"/>
    <mergeCell ref="AH12:AH13"/>
    <mergeCell ref="AI12:AI13"/>
    <mergeCell ref="AK12:AK13"/>
    <mergeCell ref="S9:S10"/>
    <mergeCell ref="T9:T10"/>
    <mergeCell ref="U9:U10"/>
    <mergeCell ref="AC7:AC8"/>
    <mergeCell ref="X7:X8"/>
    <mergeCell ref="AA7:AA8"/>
    <mergeCell ref="AA9:AA10"/>
    <mergeCell ref="AD9:AD10"/>
    <mergeCell ref="H7:H8"/>
    <mergeCell ref="I7:I8"/>
    <mergeCell ref="L4:L5"/>
    <mergeCell ref="Q9:Q10"/>
    <mergeCell ref="O2:O3"/>
    <mergeCell ref="O4:O5"/>
    <mergeCell ref="O7:O8"/>
    <mergeCell ref="G2:G3"/>
    <mergeCell ref="G4:G5"/>
    <mergeCell ref="I4:I5"/>
    <mergeCell ref="AG14:AG15"/>
    <mergeCell ref="AH14:AH15"/>
    <mergeCell ref="U12:U13"/>
    <mergeCell ref="U14:U15"/>
    <mergeCell ref="Y14:Y15"/>
    <mergeCell ref="Z12:Z13"/>
    <mergeCell ref="AA12:AA13"/>
    <mergeCell ref="S14:S15"/>
    <mergeCell ref="AA14:AA15"/>
    <mergeCell ref="AJ23:AJ25"/>
    <mergeCell ref="AE22:AE23"/>
    <mergeCell ref="Q12:Q13"/>
    <mergeCell ref="P14:P15"/>
    <mergeCell ref="G14:G15"/>
    <mergeCell ref="H14:H15"/>
    <mergeCell ref="L14:L15"/>
    <mergeCell ref="N14:N15"/>
    <mergeCell ref="A2:A11"/>
    <mergeCell ref="E2:E3"/>
    <mergeCell ref="H2:H3"/>
    <mergeCell ref="E4:E5"/>
    <mergeCell ref="K7:K8"/>
    <mergeCell ref="P2:P3"/>
    <mergeCell ref="P4:P5"/>
    <mergeCell ref="AD2:AD3"/>
    <mergeCell ref="AD4:AD5"/>
    <mergeCell ref="F7:F8"/>
    <mergeCell ref="Q2:Q3"/>
    <mergeCell ref="Q4:Q5"/>
    <mergeCell ref="Q7:Q8"/>
    <mergeCell ref="T7:T8"/>
    <mergeCell ref="U7:U8"/>
    <mergeCell ref="G7:G8"/>
    <mergeCell ref="U17:U18"/>
    <mergeCell ref="V17:V18"/>
    <mergeCell ref="Q19:Q20"/>
    <mergeCell ref="X17:X18"/>
    <mergeCell ref="Y17:Y18"/>
    <mergeCell ref="AA17:AA18"/>
    <mergeCell ref="AB17:AB18"/>
    <mergeCell ref="AD19:AD20"/>
    <mergeCell ref="AF24:AF25"/>
    <mergeCell ref="Z22:Z23"/>
    <mergeCell ref="X22:X23"/>
    <mergeCell ref="Q24:Q25"/>
    <mergeCell ref="Z24:Z25"/>
    <mergeCell ref="Q34:Q35"/>
    <mergeCell ref="O29:O30"/>
    <mergeCell ref="P32:P33"/>
    <mergeCell ref="Q32:Q33"/>
    <mergeCell ref="N33:N34"/>
    <mergeCell ref="O34:O35"/>
    <mergeCell ref="W33:W34"/>
    <mergeCell ref="S27:S28"/>
    <mergeCell ref="Z27:Z28"/>
    <mergeCell ref="P24:P25"/>
    <mergeCell ref="T34:T35"/>
    <mergeCell ref="U34:U35"/>
    <mergeCell ref="X34:X35"/>
    <mergeCell ref="AF33:AF34"/>
    <mergeCell ref="AE29:AE30"/>
    <mergeCell ref="AA34:AA35"/>
    <mergeCell ref="AD32:AD33"/>
    <mergeCell ref="L27:L28"/>
    <mergeCell ref="L29:L30"/>
    <mergeCell ref="O27:O28"/>
    <mergeCell ref="Q27:Q29"/>
    <mergeCell ref="AD27:AD2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80000"/>
    <outlinePr summaryBelow="0" summaryRight="0"/>
  </sheetPr>
  <dimension ref="A1:AM1000"/>
  <sheetViews>
    <sheetView tabSelected="1"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C13" sqref="C13:E15"/>
    </sheetView>
  </sheetViews>
  <sheetFormatPr defaultColWidth="12.54296875" defaultRowHeight="15" customHeight="1" x14ac:dyDescent="0.35"/>
  <cols>
    <col min="1" max="1" width="11.7265625" customWidth="1"/>
    <col min="2" max="2" width="9.7265625" customWidth="1"/>
    <col min="3" max="38" width="8.7265625" customWidth="1"/>
    <col min="39" max="39" width="9.7265625" customWidth="1"/>
  </cols>
  <sheetData>
    <row r="1" spans="1:39" ht="20" x14ac:dyDescent="0.35">
      <c r="A1" s="58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8</v>
      </c>
      <c r="J1" s="60" t="s">
        <v>9</v>
      </c>
      <c r="K1" s="61" t="s">
        <v>10</v>
      </c>
      <c r="L1" s="61" t="s">
        <v>11</v>
      </c>
      <c r="M1" s="62" t="s">
        <v>12</v>
      </c>
      <c r="N1" s="61" t="s">
        <v>13</v>
      </c>
      <c r="O1" s="59" t="s">
        <v>14</v>
      </c>
      <c r="P1" s="60" t="s">
        <v>15</v>
      </c>
      <c r="Q1" s="60" t="s">
        <v>16</v>
      </c>
      <c r="R1" s="63" t="s">
        <v>17</v>
      </c>
      <c r="S1" s="62" t="s">
        <v>18</v>
      </c>
      <c r="T1" s="59" t="s">
        <v>19</v>
      </c>
      <c r="U1" s="63" t="s">
        <v>20</v>
      </c>
      <c r="V1" s="64" t="s">
        <v>21</v>
      </c>
      <c r="W1" s="62" t="s">
        <v>22</v>
      </c>
      <c r="X1" s="65" t="s">
        <v>23</v>
      </c>
      <c r="Y1" s="64" t="s">
        <v>24</v>
      </c>
      <c r="Z1" s="65" t="s">
        <v>25</v>
      </c>
      <c r="AA1" s="65" t="s">
        <v>26</v>
      </c>
      <c r="AB1" s="64" t="s">
        <v>27</v>
      </c>
      <c r="AC1" s="66" t="s">
        <v>28</v>
      </c>
      <c r="AD1" s="66" t="s">
        <v>29</v>
      </c>
      <c r="AE1" s="59" t="s">
        <v>30</v>
      </c>
      <c r="AF1" s="59" t="s">
        <v>31</v>
      </c>
      <c r="AG1" s="66" t="s">
        <v>32</v>
      </c>
      <c r="AH1" s="59" t="s">
        <v>33</v>
      </c>
      <c r="AI1" s="59" t="s">
        <v>34</v>
      </c>
      <c r="AJ1" s="67" t="s">
        <v>35</v>
      </c>
      <c r="AK1" s="67" t="s">
        <v>36</v>
      </c>
      <c r="AL1" s="67" t="s">
        <v>37</v>
      </c>
      <c r="AM1" s="59" t="s">
        <v>1</v>
      </c>
    </row>
    <row r="2" spans="1:39" ht="19.5" customHeight="1" x14ac:dyDescent="0.35">
      <c r="A2" s="110" t="s">
        <v>92</v>
      </c>
      <c r="B2" s="68" t="s">
        <v>39</v>
      </c>
      <c r="C2" s="73"/>
      <c r="D2" s="73"/>
      <c r="E2" s="105" t="s">
        <v>108</v>
      </c>
      <c r="F2" s="73"/>
      <c r="G2" s="105" t="s">
        <v>138</v>
      </c>
      <c r="H2" s="73"/>
      <c r="I2" s="105" t="s">
        <v>76</v>
      </c>
      <c r="J2" s="97"/>
      <c r="K2" s="73"/>
      <c r="L2" s="73"/>
      <c r="M2" s="73"/>
      <c r="N2" s="73"/>
      <c r="O2" s="107" t="s">
        <v>93</v>
      </c>
      <c r="P2" s="101" t="s">
        <v>52</v>
      </c>
      <c r="Q2" s="101" t="s">
        <v>83</v>
      </c>
      <c r="R2" s="73"/>
      <c r="S2" s="73"/>
      <c r="T2" s="103" t="s">
        <v>69</v>
      </c>
      <c r="U2" s="73"/>
      <c r="V2" s="108" t="s">
        <v>47</v>
      </c>
      <c r="W2" s="73"/>
      <c r="X2" s="73"/>
      <c r="Y2" s="108" t="s">
        <v>89</v>
      </c>
      <c r="Z2" s="103" t="s">
        <v>62</v>
      </c>
      <c r="AA2" s="96"/>
      <c r="AB2" s="108" t="s">
        <v>64</v>
      </c>
      <c r="AC2" s="96"/>
      <c r="AD2" s="96"/>
      <c r="AE2" s="73"/>
      <c r="AF2" s="73"/>
      <c r="AG2" s="73"/>
      <c r="AH2" s="73"/>
      <c r="AI2" s="73"/>
      <c r="AJ2" s="77"/>
      <c r="AK2" s="77"/>
      <c r="AL2" s="77"/>
      <c r="AM2" s="68" t="s">
        <v>39</v>
      </c>
    </row>
    <row r="3" spans="1:39" ht="19.5" customHeight="1" x14ac:dyDescent="0.35">
      <c r="A3" s="111"/>
      <c r="B3" s="68" t="s">
        <v>48</v>
      </c>
      <c r="C3" s="73"/>
      <c r="D3" s="73"/>
      <c r="E3" s="102"/>
      <c r="F3" s="81"/>
      <c r="G3" s="102"/>
      <c r="H3" s="73"/>
      <c r="I3" s="102"/>
      <c r="J3" s="95"/>
      <c r="K3" s="73"/>
      <c r="L3" s="96"/>
      <c r="M3" s="104" t="s">
        <v>65</v>
      </c>
      <c r="N3" s="86"/>
      <c r="O3" s="102"/>
      <c r="P3" s="102"/>
      <c r="Q3" s="102"/>
      <c r="R3" s="96"/>
      <c r="S3" s="73"/>
      <c r="T3" s="102"/>
      <c r="U3" s="73"/>
      <c r="V3" s="102"/>
      <c r="W3" s="96"/>
      <c r="X3" s="73"/>
      <c r="Y3" s="102"/>
      <c r="Z3" s="102"/>
      <c r="AA3" s="95"/>
      <c r="AB3" s="102"/>
      <c r="AC3" s="95"/>
      <c r="AD3" s="95"/>
      <c r="AE3" s="73"/>
      <c r="AF3" s="73"/>
      <c r="AG3" s="73"/>
      <c r="AH3" s="73"/>
      <c r="AI3" s="73"/>
      <c r="AJ3" s="77"/>
      <c r="AK3" s="77"/>
      <c r="AL3" s="77"/>
      <c r="AM3" s="68" t="s">
        <v>48</v>
      </c>
    </row>
    <row r="4" spans="1:39" ht="19.5" customHeight="1" x14ac:dyDescent="0.35">
      <c r="A4" s="111"/>
      <c r="B4" s="68" t="s">
        <v>49</v>
      </c>
      <c r="C4" s="73"/>
      <c r="D4" s="73"/>
      <c r="E4" s="73"/>
      <c r="F4" s="81"/>
      <c r="G4" s="73"/>
      <c r="H4" s="73"/>
      <c r="I4" s="73"/>
      <c r="J4" s="97"/>
      <c r="K4" s="73"/>
      <c r="L4" s="95"/>
      <c r="M4" s="102"/>
      <c r="N4" s="106" t="s">
        <v>50</v>
      </c>
      <c r="O4" s="107" t="s">
        <v>93</v>
      </c>
      <c r="P4" s="97"/>
      <c r="Q4" s="101" t="s">
        <v>42</v>
      </c>
      <c r="R4" s="95"/>
      <c r="S4" s="103" t="s">
        <v>85</v>
      </c>
      <c r="T4" s="73"/>
      <c r="U4" s="103" t="s">
        <v>60</v>
      </c>
      <c r="V4" s="96"/>
      <c r="W4" s="95"/>
      <c r="X4" s="103" t="s">
        <v>69</v>
      </c>
      <c r="Y4" s="73"/>
      <c r="Z4" s="103" t="s">
        <v>47</v>
      </c>
      <c r="AA4" s="95"/>
      <c r="AB4" s="73"/>
      <c r="AC4" s="105" t="s">
        <v>64</v>
      </c>
      <c r="AD4" s="105" t="s">
        <v>41</v>
      </c>
      <c r="AE4" s="73"/>
      <c r="AF4" s="108" t="s">
        <v>82</v>
      </c>
      <c r="AG4" s="114"/>
      <c r="AH4" s="73"/>
      <c r="AI4" s="73"/>
      <c r="AJ4" s="77"/>
      <c r="AK4" s="77"/>
      <c r="AL4" s="77"/>
      <c r="AM4" s="68" t="s">
        <v>49</v>
      </c>
    </row>
    <row r="5" spans="1:39" ht="19.5" customHeight="1" x14ac:dyDescent="0.35">
      <c r="A5" s="111"/>
      <c r="B5" s="68" t="s">
        <v>55</v>
      </c>
      <c r="C5" s="73"/>
      <c r="D5" s="82"/>
      <c r="E5" s="73"/>
      <c r="F5" s="81"/>
      <c r="G5" s="73"/>
      <c r="H5" s="73"/>
      <c r="I5" s="73"/>
      <c r="J5" s="95"/>
      <c r="K5" s="73"/>
      <c r="L5" s="95"/>
      <c r="M5" s="73"/>
      <c r="N5" s="102"/>
      <c r="O5" s="102"/>
      <c r="P5" s="95"/>
      <c r="Q5" s="102"/>
      <c r="R5" s="95"/>
      <c r="S5" s="102"/>
      <c r="T5" s="73"/>
      <c r="U5" s="102"/>
      <c r="V5" s="95"/>
      <c r="W5" s="95"/>
      <c r="X5" s="102"/>
      <c r="Y5" s="73"/>
      <c r="Z5" s="102"/>
      <c r="AA5" s="95"/>
      <c r="AB5" s="73"/>
      <c r="AC5" s="102"/>
      <c r="AD5" s="102"/>
      <c r="AE5" s="73"/>
      <c r="AF5" s="102"/>
      <c r="AG5" s="115"/>
      <c r="AH5" s="73"/>
      <c r="AI5" s="73"/>
      <c r="AJ5" s="77"/>
      <c r="AK5" s="77"/>
      <c r="AL5" s="77"/>
      <c r="AM5" s="68" t="s">
        <v>55</v>
      </c>
    </row>
    <row r="6" spans="1:39" ht="19.5" customHeight="1" x14ac:dyDescent="0.35">
      <c r="A6" s="111"/>
      <c r="B6" s="69" t="s">
        <v>56</v>
      </c>
      <c r="C6" s="83"/>
      <c r="D6" s="83"/>
      <c r="E6" s="84"/>
      <c r="F6" s="83"/>
      <c r="G6" s="83"/>
      <c r="H6" s="83"/>
      <c r="I6" s="83"/>
      <c r="J6" s="83"/>
      <c r="K6" s="84"/>
      <c r="L6" s="84"/>
      <c r="M6" s="84"/>
      <c r="N6" s="84"/>
      <c r="O6" s="83"/>
      <c r="P6" s="83"/>
      <c r="Q6" s="83"/>
      <c r="R6" s="84"/>
      <c r="S6" s="84"/>
      <c r="T6" s="83"/>
      <c r="U6" s="84"/>
      <c r="V6" s="84"/>
      <c r="W6" s="84"/>
      <c r="X6" s="83"/>
      <c r="Y6" s="84"/>
      <c r="Z6" s="84"/>
      <c r="AA6" s="84"/>
      <c r="AB6" s="83"/>
      <c r="AC6" s="84"/>
      <c r="AD6" s="83"/>
      <c r="AE6" s="83"/>
      <c r="AF6" s="83"/>
      <c r="AG6" s="84"/>
      <c r="AH6" s="84"/>
      <c r="AI6" s="83"/>
      <c r="AJ6" s="77"/>
      <c r="AK6" s="77"/>
      <c r="AL6" s="77"/>
      <c r="AM6" s="69" t="s">
        <v>57</v>
      </c>
    </row>
    <row r="7" spans="1:39" ht="19.5" customHeight="1" x14ac:dyDescent="0.35">
      <c r="A7" s="111"/>
      <c r="B7" s="68" t="s">
        <v>58</v>
      </c>
      <c r="C7" s="73"/>
      <c r="D7" s="96"/>
      <c r="E7" s="73"/>
      <c r="F7" s="96"/>
      <c r="G7" s="73"/>
      <c r="H7" s="73"/>
      <c r="I7" s="73"/>
      <c r="J7" s="101" t="s">
        <v>83</v>
      </c>
      <c r="K7" s="73"/>
      <c r="L7" s="86"/>
      <c r="M7" s="73"/>
      <c r="N7" s="73"/>
      <c r="O7" s="103" t="s">
        <v>61</v>
      </c>
      <c r="P7" s="101" t="s">
        <v>42</v>
      </c>
      <c r="Q7" s="96"/>
      <c r="R7" s="73"/>
      <c r="S7" s="74" t="s">
        <v>45</v>
      </c>
      <c r="T7" s="73"/>
      <c r="U7" s="73"/>
      <c r="V7" s="73"/>
      <c r="W7" s="74" t="s">
        <v>90</v>
      </c>
      <c r="X7" s="103" t="s">
        <v>63</v>
      </c>
      <c r="Y7" s="108" t="s">
        <v>89</v>
      </c>
      <c r="Z7" s="103" t="s">
        <v>62</v>
      </c>
      <c r="AA7" s="96"/>
      <c r="AB7" s="73"/>
      <c r="AC7" s="96"/>
      <c r="AD7" s="73"/>
      <c r="AE7" s="96"/>
      <c r="AF7" s="96"/>
      <c r="AG7" s="96"/>
      <c r="AH7" s="96"/>
      <c r="AI7" s="96"/>
      <c r="AJ7" s="77"/>
      <c r="AK7" s="77"/>
      <c r="AL7" s="77"/>
      <c r="AM7" s="68" t="s">
        <v>58</v>
      </c>
    </row>
    <row r="8" spans="1:39" ht="19.5" customHeight="1" x14ac:dyDescent="0.35">
      <c r="A8" s="111"/>
      <c r="B8" s="68" t="s">
        <v>67</v>
      </c>
      <c r="C8" s="73"/>
      <c r="D8" s="95"/>
      <c r="E8" s="73"/>
      <c r="F8" s="95"/>
      <c r="G8" s="73"/>
      <c r="H8" s="73"/>
      <c r="I8" s="73"/>
      <c r="J8" s="102"/>
      <c r="K8" s="73"/>
      <c r="L8" s="73"/>
      <c r="M8" s="73"/>
      <c r="N8" s="73"/>
      <c r="O8" s="102"/>
      <c r="P8" s="102"/>
      <c r="Q8" s="95"/>
      <c r="R8" s="73"/>
      <c r="S8" s="104" t="s">
        <v>65</v>
      </c>
      <c r="T8" s="104" t="s">
        <v>45</v>
      </c>
      <c r="U8" s="104" t="s">
        <v>90</v>
      </c>
      <c r="V8" s="73"/>
      <c r="W8" s="104" t="s">
        <v>40</v>
      </c>
      <c r="X8" s="102"/>
      <c r="Y8" s="102"/>
      <c r="Z8" s="102"/>
      <c r="AA8" s="95"/>
      <c r="AB8" s="73"/>
      <c r="AC8" s="95"/>
      <c r="AD8" s="73"/>
      <c r="AE8" s="95"/>
      <c r="AF8" s="95"/>
      <c r="AG8" s="95"/>
      <c r="AH8" s="95"/>
      <c r="AI8" s="95"/>
      <c r="AJ8" s="77"/>
      <c r="AK8" s="77"/>
      <c r="AL8" s="77"/>
      <c r="AM8" s="68" t="s">
        <v>67</v>
      </c>
    </row>
    <row r="9" spans="1:39" ht="19.5" customHeight="1" x14ac:dyDescent="0.35">
      <c r="A9" s="111"/>
      <c r="B9" s="68" t="s">
        <v>68</v>
      </c>
      <c r="C9" s="73"/>
      <c r="D9" s="96"/>
      <c r="E9" s="73"/>
      <c r="F9" s="95"/>
      <c r="G9" s="73"/>
      <c r="H9" s="73"/>
      <c r="I9" s="105" t="s">
        <v>76</v>
      </c>
      <c r="J9" s="73"/>
      <c r="K9" s="73"/>
      <c r="L9" s="106" t="s">
        <v>50</v>
      </c>
      <c r="M9" s="103" t="s">
        <v>64</v>
      </c>
      <c r="N9" s="73"/>
      <c r="O9" s="73"/>
      <c r="P9" s="73"/>
      <c r="Q9" s="101" t="s">
        <v>52</v>
      </c>
      <c r="R9" s="103" t="s">
        <v>69</v>
      </c>
      <c r="S9" s="102"/>
      <c r="T9" s="102"/>
      <c r="U9" s="102"/>
      <c r="V9" s="73"/>
      <c r="W9" s="102"/>
      <c r="X9" s="103" t="s">
        <v>60</v>
      </c>
      <c r="Y9" s="108" t="s">
        <v>81</v>
      </c>
      <c r="Z9" s="103" t="s">
        <v>61</v>
      </c>
      <c r="AA9" s="96"/>
      <c r="AB9" s="73"/>
      <c r="AC9" s="73"/>
      <c r="AD9" s="105" t="s">
        <v>41</v>
      </c>
      <c r="AE9" s="95"/>
      <c r="AF9" s="95"/>
      <c r="AG9" s="73"/>
      <c r="AH9" s="95"/>
      <c r="AI9" s="95"/>
      <c r="AJ9" s="77"/>
      <c r="AK9" s="77"/>
      <c r="AL9" s="77"/>
      <c r="AM9" s="68" t="s">
        <v>68</v>
      </c>
    </row>
    <row r="10" spans="1:39" ht="19.5" customHeight="1" x14ac:dyDescent="0.35">
      <c r="A10" s="111"/>
      <c r="B10" s="68" t="s">
        <v>72</v>
      </c>
      <c r="C10" s="73"/>
      <c r="D10" s="95"/>
      <c r="E10" s="73"/>
      <c r="F10" s="73"/>
      <c r="G10" s="73"/>
      <c r="H10" s="73"/>
      <c r="I10" s="102"/>
      <c r="J10" s="73"/>
      <c r="K10" s="73"/>
      <c r="L10" s="102"/>
      <c r="M10" s="102"/>
      <c r="N10" s="73"/>
      <c r="O10" s="73"/>
      <c r="P10" s="73"/>
      <c r="Q10" s="102"/>
      <c r="R10" s="102"/>
      <c r="S10" s="73"/>
      <c r="T10" s="73"/>
      <c r="U10" s="73"/>
      <c r="V10" s="73"/>
      <c r="W10" s="85"/>
      <c r="X10" s="102"/>
      <c r="Y10" s="102"/>
      <c r="Z10" s="102"/>
      <c r="AA10" s="95"/>
      <c r="AB10" s="73"/>
      <c r="AC10" s="73"/>
      <c r="AD10" s="102"/>
      <c r="AE10" s="95"/>
      <c r="AF10" s="95"/>
      <c r="AG10" s="73"/>
      <c r="AH10" s="95"/>
      <c r="AI10" s="95"/>
      <c r="AJ10" s="77"/>
      <c r="AK10" s="77"/>
      <c r="AL10" s="77"/>
      <c r="AM10" s="68" t="s">
        <v>72</v>
      </c>
    </row>
    <row r="11" spans="1:39" ht="19.5" customHeight="1" x14ac:dyDescent="0.35">
      <c r="A11" s="111"/>
      <c r="B11" s="70" t="s">
        <v>73</v>
      </c>
      <c r="C11" s="73"/>
      <c r="D11" s="73"/>
      <c r="E11" s="73"/>
      <c r="F11" s="73"/>
      <c r="G11" s="73"/>
      <c r="H11" s="73"/>
      <c r="I11" s="86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85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7"/>
      <c r="AK11" s="77"/>
      <c r="AL11" s="77"/>
      <c r="AM11" s="70" t="s">
        <v>73</v>
      </c>
    </row>
    <row r="12" spans="1:39" ht="19.5" customHeight="1" x14ac:dyDescent="0.35">
      <c r="A12" s="113" t="s">
        <v>94</v>
      </c>
      <c r="B12" s="59" t="s">
        <v>39</v>
      </c>
      <c r="C12" s="96"/>
      <c r="D12" s="87"/>
      <c r="E12" s="87"/>
      <c r="F12" s="87"/>
      <c r="G12" s="87"/>
      <c r="H12" s="87"/>
      <c r="I12" s="87"/>
      <c r="J12" s="97"/>
      <c r="K12" s="87"/>
      <c r="L12" s="96"/>
      <c r="M12" s="96"/>
      <c r="N12" s="87"/>
      <c r="O12" s="87"/>
      <c r="P12" s="87"/>
      <c r="Q12" s="101" t="s">
        <v>52</v>
      </c>
      <c r="R12" s="87"/>
      <c r="S12" s="87"/>
      <c r="T12" s="96"/>
      <c r="U12" s="87"/>
      <c r="V12" s="104" t="s">
        <v>90</v>
      </c>
      <c r="W12" s="104" t="s">
        <v>43</v>
      </c>
      <c r="X12" s="87"/>
      <c r="Y12" s="87"/>
      <c r="Z12" s="87"/>
      <c r="AA12" s="87"/>
      <c r="AB12" s="108" t="s">
        <v>82</v>
      </c>
      <c r="AC12" s="105" t="s">
        <v>54</v>
      </c>
      <c r="AD12" s="105" t="s">
        <v>77</v>
      </c>
      <c r="AE12" s="87"/>
      <c r="AF12" s="87"/>
      <c r="AG12" s="87"/>
      <c r="AH12" s="87"/>
      <c r="AI12" s="87"/>
      <c r="AJ12" s="77"/>
      <c r="AK12" s="77"/>
      <c r="AL12" s="77"/>
      <c r="AM12" s="59" t="s">
        <v>39</v>
      </c>
    </row>
    <row r="13" spans="1:39" ht="19.5" customHeight="1" x14ac:dyDescent="0.35">
      <c r="A13" s="111"/>
      <c r="B13" s="59" t="s">
        <v>48</v>
      </c>
      <c r="C13" s="95"/>
      <c r="D13" s="96"/>
      <c r="E13" s="96"/>
      <c r="F13" s="87"/>
      <c r="G13" s="87"/>
      <c r="H13" s="87"/>
      <c r="I13" s="87"/>
      <c r="J13" s="95"/>
      <c r="K13" s="96"/>
      <c r="L13" s="95"/>
      <c r="M13" s="95"/>
      <c r="N13" s="96"/>
      <c r="O13" s="87"/>
      <c r="P13" s="87"/>
      <c r="Q13" s="102"/>
      <c r="R13" s="87"/>
      <c r="S13" s="96"/>
      <c r="T13" s="95"/>
      <c r="U13" s="96"/>
      <c r="V13" s="102"/>
      <c r="W13" s="102"/>
      <c r="X13" s="87"/>
      <c r="Y13" s="87"/>
      <c r="Z13" s="87"/>
      <c r="AA13" s="96"/>
      <c r="AB13" s="102"/>
      <c r="AC13" s="102"/>
      <c r="AD13" s="102"/>
      <c r="AE13" s="87"/>
      <c r="AF13" s="87"/>
      <c r="AG13" s="87"/>
      <c r="AH13" s="87"/>
      <c r="AI13" s="87"/>
      <c r="AJ13" s="97"/>
      <c r="AK13" s="77"/>
      <c r="AL13" s="77"/>
      <c r="AM13" s="59" t="s">
        <v>48</v>
      </c>
    </row>
    <row r="14" spans="1:39" ht="19.5" customHeight="1" x14ac:dyDescent="0.35">
      <c r="A14" s="111"/>
      <c r="B14" s="59" t="s">
        <v>49</v>
      </c>
      <c r="C14" s="95"/>
      <c r="D14" s="95"/>
      <c r="E14" s="95"/>
      <c r="F14" s="87"/>
      <c r="G14" s="108" t="s">
        <v>139</v>
      </c>
      <c r="H14" s="108" t="s">
        <v>82</v>
      </c>
      <c r="I14" s="87"/>
      <c r="J14" s="97"/>
      <c r="K14" s="95"/>
      <c r="L14" s="95"/>
      <c r="M14" s="95"/>
      <c r="N14" s="95"/>
      <c r="O14" s="107" t="s">
        <v>93</v>
      </c>
      <c r="P14" s="101" t="s">
        <v>53</v>
      </c>
      <c r="Q14" s="101" t="s">
        <v>42</v>
      </c>
      <c r="R14" s="87"/>
      <c r="S14" s="95"/>
      <c r="T14" s="95"/>
      <c r="U14" s="95"/>
      <c r="V14" s="87"/>
      <c r="W14" s="104" t="s">
        <v>65</v>
      </c>
      <c r="X14" s="103" t="s">
        <v>60</v>
      </c>
      <c r="Y14" s="96"/>
      <c r="Z14" s="103" t="s">
        <v>61</v>
      </c>
      <c r="AA14" s="95"/>
      <c r="AB14" s="87"/>
      <c r="AC14" s="104" t="s">
        <v>45</v>
      </c>
      <c r="AD14" s="87"/>
      <c r="AE14" s="87"/>
      <c r="AF14" s="87"/>
      <c r="AG14" s="87"/>
      <c r="AH14" s="87"/>
      <c r="AI14" s="87"/>
      <c r="AJ14" s="95"/>
      <c r="AK14" s="77"/>
      <c r="AL14" s="77"/>
      <c r="AM14" s="59" t="s">
        <v>49</v>
      </c>
    </row>
    <row r="15" spans="1:39" ht="19.5" customHeight="1" x14ac:dyDescent="0.35">
      <c r="A15" s="111"/>
      <c r="B15" s="59" t="s">
        <v>55</v>
      </c>
      <c r="C15" s="95"/>
      <c r="D15" s="95"/>
      <c r="E15" s="95"/>
      <c r="F15" s="87"/>
      <c r="G15" s="102"/>
      <c r="H15" s="102"/>
      <c r="I15" s="87"/>
      <c r="J15" s="95"/>
      <c r="K15" s="95"/>
      <c r="L15" s="95"/>
      <c r="M15" s="95"/>
      <c r="N15" s="95"/>
      <c r="O15" s="102"/>
      <c r="P15" s="102"/>
      <c r="Q15" s="102"/>
      <c r="R15" s="87"/>
      <c r="S15" s="95"/>
      <c r="T15" s="95"/>
      <c r="U15" s="95"/>
      <c r="V15" s="87"/>
      <c r="W15" s="102"/>
      <c r="X15" s="102"/>
      <c r="Y15" s="95"/>
      <c r="Z15" s="102"/>
      <c r="AA15" s="95"/>
      <c r="AB15" s="87"/>
      <c r="AC15" s="102"/>
      <c r="AD15" s="87"/>
      <c r="AE15" s="87"/>
      <c r="AF15" s="87"/>
      <c r="AG15" s="87"/>
      <c r="AH15" s="87"/>
      <c r="AI15" s="87"/>
      <c r="AJ15" s="95"/>
      <c r="AK15" s="77"/>
      <c r="AL15" s="77"/>
      <c r="AM15" s="59" t="s">
        <v>55</v>
      </c>
    </row>
    <row r="16" spans="1:39" ht="19.5" customHeight="1" x14ac:dyDescent="0.35">
      <c r="A16" s="111"/>
      <c r="B16" s="69" t="s">
        <v>57</v>
      </c>
      <c r="C16" s="83"/>
      <c r="D16" s="83"/>
      <c r="E16" s="84"/>
      <c r="F16" s="83"/>
      <c r="G16" s="83"/>
      <c r="H16" s="83"/>
      <c r="I16" s="83"/>
      <c r="J16" s="83"/>
      <c r="K16" s="84"/>
      <c r="L16" s="84"/>
      <c r="M16" s="84"/>
      <c r="N16" s="84"/>
      <c r="O16" s="83"/>
      <c r="P16" s="83"/>
      <c r="Q16" s="83"/>
      <c r="R16" s="84"/>
      <c r="S16" s="84"/>
      <c r="T16" s="83"/>
      <c r="U16" s="84"/>
      <c r="V16" s="84"/>
      <c r="W16" s="84"/>
      <c r="X16" s="83"/>
      <c r="Y16" s="84"/>
      <c r="Z16" s="84"/>
      <c r="AA16" s="84"/>
      <c r="AB16" s="83"/>
      <c r="AC16" s="84"/>
      <c r="AD16" s="83"/>
      <c r="AE16" s="83"/>
      <c r="AF16" s="83"/>
      <c r="AG16" s="84"/>
      <c r="AH16" s="84"/>
      <c r="AI16" s="83"/>
      <c r="AJ16" s="77"/>
      <c r="AK16" s="77"/>
      <c r="AL16" s="77"/>
      <c r="AM16" s="69" t="s">
        <v>57</v>
      </c>
    </row>
    <row r="17" spans="1:39" ht="19.5" customHeight="1" x14ac:dyDescent="0.35">
      <c r="A17" s="111"/>
      <c r="B17" s="59" t="s">
        <v>58</v>
      </c>
      <c r="C17" s="87"/>
      <c r="D17" s="87"/>
      <c r="E17" s="103" t="s">
        <v>140</v>
      </c>
      <c r="F17" s="87"/>
      <c r="G17" s="103" t="s">
        <v>141</v>
      </c>
      <c r="H17" s="87"/>
      <c r="I17" s="105" t="s">
        <v>46</v>
      </c>
      <c r="J17" s="87"/>
      <c r="K17" s="96"/>
      <c r="L17" s="87"/>
      <c r="M17" s="104" t="s">
        <v>66</v>
      </c>
      <c r="N17" s="106" t="s">
        <v>50</v>
      </c>
      <c r="O17" s="107" t="s">
        <v>80</v>
      </c>
      <c r="P17" s="101" t="s">
        <v>53</v>
      </c>
      <c r="Q17" s="96"/>
      <c r="R17" s="87"/>
      <c r="S17" s="96"/>
      <c r="T17" s="104" t="s">
        <v>79</v>
      </c>
      <c r="U17" s="96"/>
      <c r="V17" s="87"/>
      <c r="W17" s="96"/>
      <c r="X17" s="96"/>
      <c r="Y17" s="96"/>
      <c r="Z17" s="103" t="s">
        <v>40</v>
      </c>
      <c r="AA17" s="96"/>
      <c r="AB17" s="96"/>
      <c r="AC17" s="105" t="s">
        <v>59</v>
      </c>
      <c r="AD17" s="96"/>
      <c r="AE17" s="87"/>
      <c r="AF17" s="96"/>
      <c r="AG17" s="96"/>
      <c r="AH17" s="108" t="s">
        <v>82</v>
      </c>
      <c r="AI17" s="96"/>
      <c r="AJ17" s="97"/>
      <c r="AK17" s="77"/>
      <c r="AL17" s="77"/>
      <c r="AM17" s="59" t="s">
        <v>58</v>
      </c>
    </row>
    <row r="18" spans="1:39" ht="19.5" customHeight="1" x14ac:dyDescent="0.35">
      <c r="A18" s="111"/>
      <c r="B18" s="59" t="s">
        <v>67</v>
      </c>
      <c r="C18" s="87"/>
      <c r="D18" s="87"/>
      <c r="E18" s="102"/>
      <c r="F18" s="87"/>
      <c r="G18" s="102"/>
      <c r="H18" s="87"/>
      <c r="I18" s="102"/>
      <c r="J18" s="87"/>
      <c r="K18" s="95"/>
      <c r="L18" s="87"/>
      <c r="M18" s="102"/>
      <c r="N18" s="102"/>
      <c r="O18" s="102"/>
      <c r="P18" s="102"/>
      <c r="Q18" s="95"/>
      <c r="R18" s="87"/>
      <c r="S18" s="95"/>
      <c r="T18" s="102"/>
      <c r="U18" s="95"/>
      <c r="V18" s="87"/>
      <c r="W18" s="95"/>
      <c r="X18" s="95"/>
      <c r="Y18" s="95"/>
      <c r="Z18" s="102"/>
      <c r="AA18" s="95"/>
      <c r="AB18" s="95"/>
      <c r="AC18" s="102"/>
      <c r="AD18" s="95"/>
      <c r="AE18" s="87"/>
      <c r="AF18" s="95"/>
      <c r="AG18" s="95"/>
      <c r="AH18" s="102"/>
      <c r="AI18" s="95"/>
      <c r="AJ18" s="95"/>
      <c r="AK18" s="77"/>
      <c r="AL18" s="77"/>
      <c r="AM18" s="59" t="s">
        <v>67</v>
      </c>
    </row>
    <row r="19" spans="1:39" ht="19.5" customHeight="1" x14ac:dyDescent="0.35">
      <c r="A19" s="111"/>
      <c r="B19" s="59" t="s">
        <v>68</v>
      </c>
      <c r="C19" s="87"/>
      <c r="D19" s="87"/>
      <c r="E19" s="104" t="s">
        <v>115</v>
      </c>
      <c r="F19" s="87"/>
      <c r="G19" s="104" t="s">
        <v>117</v>
      </c>
      <c r="H19" s="87"/>
      <c r="I19" s="87"/>
      <c r="J19" s="87"/>
      <c r="K19" s="95"/>
      <c r="L19" s="87"/>
      <c r="M19" s="87"/>
      <c r="N19" s="106" t="s">
        <v>50</v>
      </c>
      <c r="O19" s="87"/>
      <c r="P19" s="101" t="s">
        <v>83</v>
      </c>
      <c r="Q19" s="101" t="s">
        <v>42</v>
      </c>
      <c r="R19" s="103" t="s">
        <v>70</v>
      </c>
      <c r="S19" s="95"/>
      <c r="T19" s="87"/>
      <c r="U19" s="95"/>
      <c r="V19" s="87"/>
      <c r="W19" s="95"/>
      <c r="X19" s="95"/>
      <c r="Y19" s="95"/>
      <c r="Z19" s="103" t="s">
        <v>62</v>
      </c>
      <c r="AA19" s="96"/>
      <c r="AB19" s="95"/>
      <c r="AC19" s="105" t="s">
        <v>64</v>
      </c>
      <c r="AD19" s="95"/>
      <c r="AE19" s="87"/>
      <c r="AF19" s="95"/>
      <c r="AG19" s="87"/>
      <c r="AH19" s="108" t="s">
        <v>89</v>
      </c>
      <c r="AI19" s="95"/>
      <c r="AJ19" s="95"/>
      <c r="AK19" s="77"/>
      <c r="AL19" s="77"/>
      <c r="AM19" s="59" t="s">
        <v>68</v>
      </c>
    </row>
    <row r="20" spans="1:39" ht="19.5" customHeight="1" x14ac:dyDescent="0.35">
      <c r="A20" s="111"/>
      <c r="B20" s="59" t="s">
        <v>72</v>
      </c>
      <c r="C20" s="87"/>
      <c r="D20" s="87"/>
      <c r="E20" s="102"/>
      <c r="F20" s="87"/>
      <c r="G20" s="102"/>
      <c r="H20" s="87"/>
      <c r="I20" s="87"/>
      <c r="J20" s="87"/>
      <c r="K20" s="95"/>
      <c r="L20" s="87"/>
      <c r="M20" s="87"/>
      <c r="N20" s="102"/>
      <c r="O20" s="87"/>
      <c r="P20" s="102"/>
      <c r="Q20" s="102"/>
      <c r="R20" s="102"/>
      <c r="S20" s="87"/>
      <c r="T20" s="87"/>
      <c r="U20" s="95"/>
      <c r="V20" s="87"/>
      <c r="W20" s="87"/>
      <c r="X20" s="95"/>
      <c r="Y20" s="108" t="s">
        <v>44</v>
      </c>
      <c r="Z20" s="102"/>
      <c r="AA20" s="95"/>
      <c r="AB20" s="87"/>
      <c r="AC20" s="102"/>
      <c r="AD20" s="95"/>
      <c r="AE20" s="87"/>
      <c r="AF20" s="87"/>
      <c r="AG20" s="87"/>
      <c r="AH20" s="102"/>
      <c r="AI20" s="87"/>
      <c r="AJ20" s="77"/>
      <c r="AK20" s="77"/>
      <c r="AL20" s="77"/>
      <c r="AM20" s="59" t="s">
        <v>72</v>
      </c>
    </row>
    <row r="21" spans="1:39" ht="19.5" customHeight="1" x14ac:dyDescent="0.35">
      <c r="A21" s="111"/>
      <c r="B21" s="71" t="s">
        <v>73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102"/>
      <c r="Z21" s="87"/>
      <c r="AA21" s="76"/>
      <c r="AB21" s="87"/>
      <c r="AC21" s="87"/>
      <c r="AD21" s="87"/>
      <c r="AE21" s="87"/>
      <c r="AF21" s="87"/>
      <c r="AG21" s="87"/>
      <c r="AH21" s="87"/>
      <c r="AI21" s="87"/>
      <c r="AJ21" s="94"/>
      <c r="AK21" s="77"/>
      <c r="AL21" s="77"/>
      <c r="AM21" s="71" t="s">
        <v>73</v>
      </c>
    </row>
    <row r="22" spans="1:39" ht="19.5" customHeight="1" x14ac:dyDescent="0.35">
      <c r="A22" s="112" t="s">
        <v>95</v>
      </c>
      <c r="B22" s="72" t="s">
        <v>39</v>
      </c>
      <c r="C22" s="73"/>
      <c r="D22" s="73"/>
      <c r="E22" s="73"/>
      <c r="F22" s="73"/>
      <c r="G22" s="73"/>
      <c r="H22" s="73"/>
      <c r="I22" s="105" t="s">
        <v>41</v>
      </c>
      <c r="J22" s="101" t="s">
        <v>42</v>
      </c>
      <c r="K22" s="73"/>
      <c r="L22" s="73"/>
      <c r="M22" s="73"/>
      <c r="N22" s="73"/>
      <c r="O22" s="73"/>
      <c r="P22" s="101" t="s">
        <v>53</v>
      </c>
      <c r="Q22" s="96"/>
      <c r="R22" s="73"/>
      <c r="S22" s="73"/>
      <c r="T22" s="107" t="s">
        <v>93</v>
      </c>
      <c r="U22" s="73"/>
      <c r="V22" s="73"/>
      <c r="W22" s="73"/>
      <c r="X22" s="73"/>
      <c r="Y22" s="108" t="s">
        <v>82</v>
      </c>
      <c r="Z22" s="103" t="s">
        <v>70</v>
      </c>
      <c r="AA22" s="103" t="s">
        <v>60</v>
      </c>
      <c r="AB22" s="73"/>
      <c r="AC22" s="73"/>
      <c r="AD22" s="105" t="s">
        <v>77</v>
      </c>
      <c r="AE22" s="96"/>
      <c r="AF22" s="73"/>
      <c r="AG22" s="73"/>
      <c r="AH22" s="73"/>
      <c r="AI22" s="73"/>
      <c r="AJ22" s="77"/>
      <c r="AK22" s="77"/>
      <c r="AL22" s="77"/>
      <c r="AM22" s="72" t="s">
        <v>39</v>
      </c>
    </row>
    <row r="23" spans="1:39" ht="19.5" customHeight="1" x14ac:dyDescent="0.35">
      <c r="A23" s="111"/>
      <c r="B23" s="72" t="s">
        <v>48</v>
      </c>
      <c r="C23" s="73"/>
      <c r="D23" s="73"/>
      <c r="E23" s="73"/>
      <c r="F23" s="73"/>
      <c r="G23" s="73"/>
      <c r="H23" s="73"/>
      <c r="I23" s="102"/>
      <c r="J23" s="102"/>
      <c r="K23" s="96"/>
      <c r="L23" s="106" t="s">
        <v>50</v>
      </c>
      <c r="M23" s="88"/>
      <c r="N23" s="88"/>
      <c r="O23" s="96"/>
      <c r="P23" s="102"/>
      <c r="Q23" s="95"/>
      <c r="R23" s="93"/>
      <c r="S23" s="104" t="s">
        <v>66</v>
      </c>
      <c r="T23" s="102"/>
      <c r="U23" s="73"/>
      <c r="V23" s="73"/>
      <c r="W23" s="96"/>
      <c r="X23" s="73"/>
      <c r="Y23" s="102"/>
      <c r="Z23" s="102"/>
      <c r="AA23" s="102"/>
      <c r="AB23" s="96"/>
      <c r="AC23" s="73"/>
      <c r="AD23" s="102"/>
      <c r="AE23" s="95"/>
      <c r="AF23" s="96"/>
      <c r="AG23" s="73"/>
      <c r="AH23" s="96"/>
      <c r="AI23" s="73"/>
      <c r="AJ23" s="97"/>
      <c r="AK23" s="77"/>
      <c r="AL23" s="77"/>
      <c r="AM23" s="72" t="s">
        <v>48</v>
      </c>
    </row>
    <row r="24" spans="1:39" ht="19.5" customHeight="1" x14ac:dyDescent="0.35">
      <c r="A24" s="111"/>
      <c r="B24" s="72" t="s">
        <v>49</v>
      </c>
      <c r="C24" s="97"/>
      <c r="D24" s="73"/>
      <c r="E24" s="73"/>
      <c r="F24" s="105" t="s">
        <v>142</v>
      </c>
      <c r="G24" s="105" t="s">
        <v>143</v>
      </c>
      <c r="H24" s="73"/>
      <c r="I24" s="73"/>
      <c r="J24" s="97"/>
      <c r="K24" s="95"/>
      <c r="L24" s="102"/>
      <c r="M24" s="88"/>
      <c r="N24" s="88"/>
      <c r="O24" s="95"/>
      <c r="P24" s="97"/>
      <c r="Q24" s="101" t="s">
        <v>83</v>
      </c>
      <c r="R24" s="93"/>
      <c r="S24" s="102"/>
      <c r="T24" s="107" t="s">
        <v>93</v>
      </c>
      <c r="U24" s="73"/>
      <c r="V24" s="73"/>
      <c r="W24" s="95"/>
      <c r="X24" s="73"/>
      <c r="Y24" s="108" t="s">
        <v>82</v>
      </c>
      <c r="Z24" s="103" t="s">
        <v>69</v>
      </c>
      <c r="AA24" s="103" t="s">
        <v>61</v>
      </c>
      <c r="AB24" s="95"/>
      <c r="AC24" s="73"/>
      <c r="AD24" s="73"/>
      <c r="AE24" s="95"/>
      <c r="AF24" s="95"/>
      <c r="AG24" s="73"/>
      <c r="AH24" s="95"/>
      <c r="AI24" s="73"/>
      <c r="AJ24" s="95"/>
      <c r="AK24" s="77"/>
      <c r="AL24" s="77"/>
      <c r="AM24" s="72" t="s">
        <v>49</v>
      </c>
    </row>
    <row r="25" spans="1:39" ht="19.5" customHeight="1" x14ac:dyDescent="0.35">
      <c r="A25" s="111"/>
      <c r="B25" s="72" t="s">
        <v>55</v>
      </c>
      <c r="C25" s="95"/>
      <c r="D25" s="73"/>
      <c r="E25" s="73"/>
      <c r="F25" s="102"/>
      <c r="G25" s="102"/>
      <c r="H25" s="73"/>
      <c r="I25" s="73"/>
      <c r="J25" s="95"/>
      <c r="K25" s="95"/>
      <c r="L25" s="88"/>
      <c r="M25" s="88"/>
      <c r="N25" s="79" t="s">
        <v>75</v>
      </c>
      <c r="O25" s="95"/>
      <c r="P25" s="95"/>
      <c r="Q25" s="102"/>
      <c r="R25" s="93"/>
      <c r="S25" s="73"/>
      <c r="T25" s="102"/>
      <c r="U25" s="73"/>
      <c r="V25" s="73"/>
      <c r="W25" s="95"/>
      <c r="X25" s="73"/>
      <c r="Y25" s="102"/>
      <c r="Z25" s="102"/>
      <c r="AA25" s="102"/>
      <c r="AB25" s="95"/>
      <c r="AC25" s="73"/>
      <c r="AD25" s="73"/>
      <c r="AE25" s="95"/>
      <c r="AF25" s="95"/>
      <c r="AG25" s="73"/>
      <c r="AH25" s="95"/>
      <c r="AI25" s="73"/>
      <c r="AJ25" s="95"/>
      <c r="AK25" s="77"/>
      <c r="AL25" s="77"/>
      <c r="AM25" s="72" t="s">
        <v>55</v>
      </c>
    </row>
    <row r="26" spans="1:39" ht="19.5" customHeight="1" x14ac:dyDescent="0.35">
      <c r="A26" s="111"/>
      <c r="B26" s="69" t="s">
        <v>57</v>
      </c>
      <c r="C26" s="83"/>
      <c r="D26" s="83"/>
      <c r="E26" s="84"/>
      <c r="F26" s="83"/>
      <c r="G26" s="83"/>
      <c r="H26" s="83"/>
      <c r="I26" s="83"/>
      <c r="J26" s="83"/>
      <c r="K26" s="84"/>
      <c r="L26" s="84"/>
      <c r="M26" s="84"/>
      <c r="N26" s="84"/>
      <c r="O26" s="83"/>
      <c r="P26" s="83"/>
      <c r="Q26" s="83"/>
      <c r="R26" s="84"/>
      <c r="S26" s="84"/>
      <c r="T26" s="83"/>
      <c r="U26" s="84"/>
      <c r="V26" s="84"/>
      <c r="W26" s="84"/>
      <c r="X26" s="83"/>
      <c r="Y26" s="84"/>
      <c r="Z26" s="84"/>
      <c r="AA26" s="84"/>
      <c r="AB26" s="83"/>
      <c r="AC26" s="84"/>
      <c r="AD26" s="83"/>
      <c r="AE26" s="83"/>
      <c r="AF26" s="83"/>
      <c r="AG26" s="84"/>
      <c r="AH26" s="84"/>
      <c r="AI26" s="83"/>
      <c r="AJ26" s="77"/>
      <c r="AK26" s="77"/>
      <c r="AL26" s="77"/>
      <c r="AM26" s="69" t="s">
        <v>57</v>
      </c>
    </row>
    <row r="27" spans="1:39" ht="19.5" customHeight="1" x14ac:dyDescent="0.35">
      <c r="A27" s="111"/>
      <c r="B27" s="68" t="s">
        <v>58</v>
      </c>
      <c r="C27" s="73"/>
      <c r="D27" s="73"/>
      <c r="E27" s="108" t="s">
        <v>144</v>
      </c>
      <c r="F27" s="96"/>
      <c r="G27" s="104" t="s">
        <v>118</v>
      </c>
      <c r="H27" s="104" t="s">
        <v>90</v>
      </c>
      <c r="I27" s="88"/>
      <c r="J27" s="73"/>
      <c r="K27" s="96"/>
      <c r="L27" s="96"/>
      <c r="M27" s="88"/>
      <c r="N27" s="73"/>
      <c r="O27" s="103" t="s">
        <v>61</v>
      </c>
      <c r="P27" s="73"/>
      <c r="Q27" s="96"/>
      <c r="R27" s="101" t="s">
        <v>83</v>
      </c>
      <c r="S27" s="96"/>
      <c r="T27" s="96"/>
      <c r="U27" s="73"/>
      <c r="V27" s="73"/>
      <c r="W27" s="104" t="s">
        <v>43</v>
      </c>
      <c r="X27" s="73"/>
      <c r="Y27" s="108" t="s">
        <v>81</v>
      </c>
      <c r="Z27" s="96" t="s">
        <v>96</v>
      </c>
      <c r="AA27" s="103" t="s">
        <v>63</v>
      </c>
      <c r="AB27" s="108" t="s">
        <v>82</v>
      </c>
      <c r="AC27" s="73"/>
      <c r="AD27" s="105" t="s">
        <v>41</v>
      </c>
      <c r="AE27" s="96"/>
      <c r="AF27" s="106" t="s">
        <v>40</v>
      </c>
      <c r="AG27" s="73"/>
      <c r="AH27" s="96"/>
      <c r="AI27" s="96"/>
      <c r="AJ27" s="97"/>
      <c r="AK27" s="77"/>
      <c r="AL27" s="77"/>
      <c r="AM27" s="68" t="s">
        <v>58</v>
      </c>
    </row>
    <row r="28" spans="1:39" ht="19.5" customHeight="1" x14ac:dyDescent="0.35">
      <c r="A28" s="111"/>
      <c r="B28" s="72" t="s">
        <v>67</v>
      </c>
      <c r="C28" s="73"/>
      <c r="D28" s="73"/>
      <c r="E28" s="102"/>
      <c r="F28" s="95"/>
      <c r="G28" s="102"/>
      <c r="H28" s="102"/>
      <c r="I28" s="88"/>
      <c r="J28" s="73"/>
      <c r="K28" s="95"/>
      <c r="L28" s="95"/>
      <c r="M28" s="88"/>
      <c r="N28" s="73"/>
      <c r="O28" s="102"/>
      <c r="P28" s="73"/>
      <c r="Q28" s="95"/>
      <c r="R28" s="102"/>
      <c r="S28" s="95"/>
      <c r="T28" s="95"/>
      <c r="U28" s="73"/>
      <c r="V28" s="73"/>
      <c r="W28" s="102"/>
      <c r="X28" s="73"/>
      <c r="Y28" s="102"/>
      <c r="Z28" s="95"/>
      <c r="AA28" s="102"/>
      <c r="AB28" s="102"/>
      <c r="AC28" s="73"/>
      <c r="AD28" s="102"/>
      <c r="AE28" s="95"/>
      <c r="AF28" s="102"/>
      <c r="AG28" s="73"/>
      <c r="AH28" s="95"/>
      <c r="AI28" s="95"/>
      <c r="AJ28" s="95"/>
      <c r="AK28" s="77"/>
      <c r="AL28" s="77"/>
      <c r="AM28" s="72" t="s">
        <v>67</v>
      </c>
    </row>
    <row r="29" spans="1:39" ht="19.5" customHeight="1" x14ac:dyDescent="0.35">
      <c r="A29" s="111"/>
      <c r="B29" s="72" t="s">
        <v>68</v>
      </c>
      <c r="C29" s="73"/>
      <c r="D29" s="73"/>
      <c r="E29" s="73"/>
      <c r="F29" s="95"/>
      <c r="G29" s="73"/>
      <c r="H29" s="73"/>
      <c r="I29" s="73"/>
      <c r="J29" s="101" t="s">
        <v>53</v>
      </c>
      <c r="K29" s="95"/>
      <c r="L29" s="95"/>
      <c r="M29" s="104" t="s">
        <v>65</v>
      </c>
      <c r="N29" s="103" t="s">
        <v>63</v>
      </c>
      <c r="O29" s="73"/>
      <c r="P29" s="73"/>
      <c r="Q29" s="95"/>
      <c r="R29" s="101" t="s">
        <v>42</v>
      </c>
      <c r="S29" s="95"/>
      <c r="T29" s="95"/>
      <c r="U29" s="103" t="s">
        <v>70</v>
      </c>
      <c r="V29" s="108" t="s">
        <v>81</v>
      </c>
      <c r="W29" s="73"/>
      <c r="X29" s="103" t="s">
        <v>69</v>
      </c>
      <c r="Y29" s="73"/>
      <c r="Z29" s="95"/>
      <c r="AA29" s="103" t="s">
        <v>60</v>
      </c>
      <c r="AB29" s="108" t="s">
        <v>89</v>
      </c>
      <c r="AC29" s="73"/>
      <c r="AD29" s="73"/>
      <c r="AE29" s="95"/>
      <c r="AF29" s="73"/>
      <c r="AG29" s="73"/>
      <c r="AH29" s="95"/>
      <c r="AI29" s="95"/>
      <c r="AJ29" s="95"/>
      <c r="AK29" s="77"/>
      <c r="AL29" s="77"/>
      <c r="AM29" s="72" t="s">
        <v>68</v>
      </c>
    </row>
    <row r="30" spans="1:39" ht="19.5" customHeight="1" x14ac:dyDescent="0.35">
      <c r="A30" s="111"/>
      <c r="B30" s="72" t="s">
        <v>72</v>
      </c>
      <c r="C30" s="73"/>
      <c r="D30" s="73"/>
      <c r="E30" s="73"/>
      <c r="F30" s="95"/>
      <c r="G30" s="73"/>
      <c r="H30" s="73"/>
      <c r="I30" s="73"/>
      <c r="J30" s="102"/>
      <c r="K30" s="95"/>
      <c r="L30" s="73"/>
      <c r="M30" s="102"/>
      <c r="N30" s="102"/>
      <c r="O30" s="73"/>
      <c r="P30" s="73"/>
      <c r="Q30" s="73"/>
      <c r="R30" s="102"/>
      <c r="S30" s="73"/>
      <c r="T30" s="95"/>
      <c r="U30" s="102"/>
      <c r="V30" s="102"/>
      <c r="W30" s="90"/>
      <c r="X30" s="102"/>
      <c r="Y30" s="73"/>
      <c r="Z30" s="73"/>
      <c r="AA30" s="102"/>
      <c r="AB30" s="102"/>
      <c r="AC30" s="73"/>
      <c r="AD30" s="73"/>
      <c r="AE30" s="95"/>
      <c r="AF30" s="73"/>
      <c r="AG30" s="73"/>
      <c r="AH30" s="73"/>
      <c r="AI30" s="95"/>
      <c r="AJ30" s="77"/>
      <c r="AK30" s="77"/>
      <c r="AL30" s="77"/>
      <c r="AM30" s="72" t="s">
        <v>72</v>
      </c>
    </row>
    <row r="31" spans="1:39" ht="19.5" customHeight="1" x14ac:dyDescent="0.35">
      <c r="A31" s="111"/>
      <c r="B31" s="70" t="s">
        <v>73</v>
      </c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6"/>
      <c r="AA31" s="73"/>
      <c r="AB31" s="73"/>
      <c r="AC31" s="73"/>
      <c r="AD31" s="73"/>
      <c r="AE31" s="73"/>
      <c r="AF31" s="73"/>
      <c r="AG31" s="73"/>
      <c r="AH31" s="76"/>
      <c r="AI31" s="73"/>
      <c r="AJ31" s="77"/>
      <c r="AK31" s="77"/>
      <c r="AL31" s="77"/>
      <c r="AM31" s="70" t="s">
        <v>73</v>
      </c>
    </row>
    <row r="32" spans="1:39" ht="19.5" customHeight="1" x14ac:dyDescent="0.35">
      <c r="A32" s="113" t="s">
        <v>97</v>
      </c>
      <c r="B32" s="59" t="s">
        <v>39</v>
      </c>
      <c r="C32" s="87"/>
      <c r="D32" s="87"/>
      <c r="E32" s="96"/>
      <c r="F32" s="87"/>
      <c r="G32" s="105" t="s">
        <v>145</v>
      </c>
      <c r="H32" s="105" t="s">
        <v>146</v>
      </c>
      <c r="I32" s="105" t="s">
        <v>76</v>
      </c>
      <c r="J32" s="97"/>
      <c r="K32" s="96"/>
      <c r="L32" s="87"/>
      <c r="M32" s="87"/>
      <c r="N32" s="87"/>
      <c r="O32" s="107" t="s">
        <v>80</v>
      </c>
      <c r="P32" s="97"/>
      <c r="Q32" s="87"/>
      <c r="R32" s="96"/>
      <c r="S32" s="87"/>
      <c r="T32" s="87"/>
      <c r="U32" s="87"/>
      <c r="V32" s="108" t="s">
        <v>82</v>
      </c>
      <c r="W32" s="87"/>
      <c r="X32" s="87"/>
      <c r="Y32" s="87"/>
      <c r="Z32" s="87"/>
      <c r="AA32" s="87"/>
      <c r="AB32" s="108" t="s">
        <v>81</v>
      </c>
      <c r="AC32" s="87"/>
      <c r="AD32" s="87"/>
      <c r="AE32" s="87"/>
      <c r="AF32" s="87"/>
      <c r="AG32" s="96"/>
      <c r="AH32" s="96"/>
      <c r="AI32" s="87"/>
      <c r="AJ32" s="77"/>
      <c r="AK32" s="77"/>
      <c r="AL32" s="77"/>
      <c r="AM32" s="59" t="s">
        <v>39</v>
      </c>
    </row>
    <row r="33" spans="1:39" ht="19.5" customHeight="1" x14ac:dyDescent="0.35">
      <c r="A33" s="111"/>
      <c r="B33" s="59" t="s">
        <v>48</v>
      </c>
      <c r="C33" s="87"/>
      <c r="D33" s="96"/>
      <c r="E33" s="95"/>
      <c r="F33" s="96"/>
      <c r="G33" s="102"/>
      <c r="H33" s="102"/>
      <c r="I33" s="102"/>
      <c r="J33" s="95"/>
      <c r="K33" s="95"/>
      <c r="L33" s="87"/>
      <c r="M33" s="87"/>
      <c r="N33" s="87"/>
      <c r="O33" s="102"/>
      <c r="P33" s="95"/>
      <c r="Q33" s="76"/>
      <c r="R33" s="95"/>
      <c r="S33" s="87"/>
      <c r="T33" s="87"/>
      <c r="U33" s="87"/>
      <c r="V33" s="102"/>
      <c r="W33" s="96"/>
      <c r="X33" s="87"/>
      <c r="Y33" s="87"/>
      <c r="Z33" s="87"/>
      <c r="AA33" s="96"/>
      <c r="AB33" s="102"/>
      <c r="AC33" s="87"/>
      <c r="AD33" s="87"/>
      <c r="AE33" s="87"/>
      <c r="AF33" s="87"/>
      <c r="AG33" s="95"/>
      <c r="AH33" s="95"/>
      <c r="AI33" s="87"/>
      <c r="AJ33" s="77"/>
      <c r="AK33" s="77"/>
      <c r="AL33" s="77"/>
      <c r="AM33" s="59" t="s">
        <v>48</v>
      </c>
    </row>
    <row r="34" spans="1:39" ht="19.5" customHeight="1" x14ac:dyDescent="0.35">
      <c r="A34" s="111"/>
      <c r="B34" s="59" t="s">
        <v>49</v>
      </c>
      <c r="C34" s="87"/>
      <c r="D34" s="95"/>
      <c r="E34" s="95"/>
      <c r="F34" s="95"/>
      <c r="G34" s="103" t="s">
        <v>147</v>
      </c>
      <c r="H34" s="87"/>
      <c r="I34" s="87"/>
      <c r="J34" s="101" t="s">
        <v>71</v>
      </c>
      <c r="K34" s="95"/>
      <c r="L34" s="106" t="s">
        <v>50</v>
      </c>
      <c r="M34" s="104" t="s">
        <v>90</v>
      </c>
      <c r="N34" s="96"/>
      <c r="O34" s="107" t="s">
        <v>80</v>
      </c>
      <c r="P34" s="101" t="s">
        <v>42</v>
      </c>
      <c r="Q34" s="96"/>
      <c r="R34" s="95"/>
      <c r="S34" s="104" t="s">
        <v>43</v>
      </c>
      <c r="T34" s="103" t="s">
        <v>98</v>
      </c>
      <c r="U34" s="87"/>
      <c r="V34" s="108" t="s">
        <v>85</v>
      </c>
      <c r="W34" s="95"/>
      <c r="X34" s="103" t="s">
        <v>63</v>
      </c>
      <c r="Y34" s="108" t="s">
        <v>82</v>
      </c>
      <c r="Z34" s="103" t="s">
        <v>70</v>
      </c>
      <c r="AA34" s="95"/>
      <c r="AB34" s="108" t="s">
        <v>40</v>
      </c>
      <c r="AC34" s="87"/>
      <c r="AD34" s="87"/>
      <c r="AE34" s="87"/>
      <c r="AF34" s="87"/>
      <c r="AG34" s="96"/>
      <c r="AH34" s="96"/>
      <c r="AI34" s="87"/>
      <c r="AJ34" s="77"/>
      <c r="AK34" s="77"/>
      <c r="AL34" s="77"/>
      <c r="AM34" s="59" t="s">
        <v>49</v>
      </c>
    </row>
    <row r="35" spans="1:39" ht="19.5" customHeight="1" x14ac:dyDescent="0.35">
      <c r="A35" s="111"/>
      <c r="B35" s="59" t="s">
        <v>55</v>
      </c>
      <c r="C35" s="76"/>
      <c r="D35" s="95"/>
      <c r="E35" s="95"/>
      <c r="F35" s="95"/>
      <c r="G35" s="102"/>
      <c r="H35" s="87"/>
      <c r="I35" s="87"/>
      <c r="J35" s="102"/>
      <c r="K35" s="95"/>
      <c r="L35" s="102"/>
      <c r="M35" s="102"/>
      <c r="N35" s="95"/>
      <c r="O35" s="102"/>
      <c r="P35" s="102"/>
      <c r="Q35" s="95"/>
      <c r="R35" s="95"/>
      <c r="S35" s="102"/>
      <c r="T35" s="102"/>
      <c r="U35" s="87"/>
      <c r="V35" s="102"/>
      <c r="W35" s="95"/>
      <c r="X35" s="102"/>
      <c r="Y35" s="102"/>
      <c r="Z35" s="102"/>
      <c r="AA35" s="95"/>
      <c r="AB35" s="102"/>
      <c r="AC35" s="87"/>
      <c r="AD35" s="87"/>
      <c r="AE35" s="87"/>
      <c r="AF35" s="87"/>
      <c r="AG35" s="95"/>
      <c r="AH35" s="95"/>
      <c r="AI35" s="87"/>
      <c r="AJ35" s="77"/>
      <c r="AK35" s="77"/>
      <c r="AL35" s="77"/>
      <c r="AM35" s="59" t="s">
        <v>55</v>
      </c>
    </row>
    <row r="36" spans="1:39" ht="19.5" customHeight="1" x14ac:dyDescent="0.35">
      <c r="A36" s="111"/>
      <c r="B36" s="69" t="s">
        <v>57</v>
      </c>
      <c r="C36" s="83"/>
      <c r="D36" s="83"/>
      <c r="E36" s="84"/>
      <c r="F36" s="83"/>
      <c r="G36" s="83"/>
      <c r="H36" s="83"/>
      <c r="I36" s="83"/>
      <c r="J36" s="83"/>
      <c r="K36" s="84"/>
      <c r="L36" s="84"/>
      <c r="M36" s="84"/>
      <c r="N36" s="84"/>
      <c r="O36" s="83"/>
      <c r="P36" s="83"/>
      <c r="Q36" s="83"/>
      <c r="R36" s="84"/>
      <c r="S36" s="84"/>
      <c r="T36" s="83"/>
      <c r="U36" s="84"/>
      <c r="V36" s="84"/>
      <c r="W36" s="84"/>
      <c r="X36" s="83"/>
      <c r="Y36" s="84"/>
      <c r="Z36" s="84"/>
      <c r="AA36" s="84"/>
      <c r="AB36" s="83"/>
      <c r="AC36" s="84"/>
      <c r="AD36" s="83"/>
      <c r="AE36" s="83"/>
      <c r="AF36" s="83"/>
      <c r="AG36" s="84"/>
      <c r="AH36" s="84"/>
      <c r="AI36" s="83"/>
      <c r="AJ36" s="77"/>
      <c r="AK36" s="77"/>
      <c r="AL36" s="77"/>
      <c r="AM36" s="69" t="s">
        <v>57</v>
      </c>
    </row>
    <row r="37" spans="1:39" ht="19.5" customHeight="1" x14ac:dyDescent="0.35">
      <c r="A37" s="111"/>
      <c r="B37" s="59" t="s">
        <v>58</v>
      </c>
      <c r="C37" s="87"/>
      <c r="D37" s="87"/>
      <c r="E37" s="96"/>
      <c r="F37" s="97"/>
      <c r="G37" s="104" t="s">
        <v>116</v>
      </c>
      <c r="H37" s="96"/>
      <c r="I37" s="87"/>
      <c r="J37" s="87"/>
      <c r="K37" s="96"/>
      <c r="L37" s="103" t="s">
        <v>47</v>
      </c>
      <c r="M37" s="96"/>
      <c r="N37" s="106" t="s">
        <v>75</v>
      </c>
      <c r="O37" s="87"/>
      <c r="P37" s="87"/>
      <c r="Q37" s="76"/>
      <c r="R37" s="87"/>
      <c r="S37" s="96"/>
      <c r="T37" s="96"/>
      <c r="U37" s="103" t="s">
        <v>71</v>
      </c>
      <c r="V37" s="87"/>
      <c r="W37" s="96"/>
      <c r="X37" s="103" t="s">
        <v>62</v>
      </c>
      <c r="Y37" s="87"/>
      <c r="Z37" s="103" t="s">
        <v>70</v>
      </c>
      <c r="AA37" s="103" t="s">
        <v>61</v>
      </c>
      <c r="AB37" s="75" t="s">
        <v>89</v>
      </c>
      <c r="AC37" s="87"/>
      <c r="AD37" s="96"/>
      <c r="AE37" s="96"/>
      <c r="AF37" s="96"/>
      <c r="AG37" s="96"/>
      <c r="AH37" s="96"/>
      <c r="AI37" s="87"/>
      <c r="AJ37" s="77"/>
      <c r="AK37" s="105" t="s">
        <v>77</v>
      </c>
      <c r="AL37" s="77"/>
      <c r="AM37" s="59" t="s">
        <v>58</v>
      </c>
    </row>
    <row r="38" spans="1:39" ht="19.5" customHeight="1" x14ac:dyDescent="0.35">
      <c r="A38" s="111"/>
      <c r="B38" s="59" t="s">
        <v>67</v>
      </c>
      <c r="C38" s="87"/>
      <c r="D38" s="87"/>
      <c r="E38" s="95"/>
      <c r="F38" s="95"/>
      <c r="G38" s="102"/>
      <c r="H38" s="95"/>
      <c r="I38" s="87"/>
      <c r="J38" s="87"/>
      <c r="K38" s="95"/>
      <c r="L38" s="102"/>
      <c r="M38" s="95"/>
      <c r="N38" s="102"/>
      <c r="O38" s="87"/>
      <c r="P38" s="87"/>
      <c r="Q38" s="96"/>
      <c r="R38" s="108" t="s">
        <v>233</v>
      </c>
      <c r="S38" s="95"/>
      <c r="T38" s="95"/>
      <c r="U38" s="102"/>
      <c r="V38" s="87"/>
      <c r="W38" s="95"/>
      <c r="X38" s="102"/>
      <c r="Y38" s="108" t="s">
        <v>82</v>
      </c>
      <c r="Z38" s="102"/>
      <c r="AA38" s="102"/>
      <c r="AB38" s="108" t="s">
        <v>81</v>
      </c>
      <c r="AC38" s="87"/>
      <c r="AD38" s="95"/>
      <c r="AE38" s="95"/>
      <c r="AF38" s="95"/>
      <c r="AG38" s="95"/>
      <c r="AH38" s="95"/>
      <c r="AI38" s="87"/>
      <c r="AJ38" s="77"/>
      <c r="AK38" s="102"/>
      <c r="AL38" s="77"/>
      <c r="AM38" s="59" t="s">
        <v>67</v>
      </c>
    </row>
    <row r="39" spans="1:39" ht="19.5" customHeight="1" x14ac:dyDescent="0.35">
      <c r="A39" s="111"/>
      <c r="B39" s="59" t="s">
        <v>68</v>
      </c>
      <c r="C39" s="87"/>
      <c r="D39" s="87"/>
      <c r="E39" s="95"/>
      <c r="F39" s="87"/>
      <c r="G39" s="87"/>
      <c r="H39" s="87"/>
      <c r="I39" s="87"/>
      <c r="J39" s="101" t="s">
        <v>83</v>
      </c>
      <c r="K39" s="95"/>
      <c r="L39" s="106" t="s">
        <v>50</v>
      </c>
      <c r="M39" s="95"/>
      <c r="N39" s="87"/>
      <c r="O39" s="101" t="s">
        <v>52</v>
      </c>
      <c r="P39" s="101" t="s">
        <v>46</v>
      </c>
      <c r="Q39" s="95"/>
      <c r="R39" s="102"/>
      <c r="S39" s="95"/>
      <c r="T39" s="95"/>
      <c r="U39" s="103" t="s">
        <v>62</v>
      </c>
      <c r="V39" s="96"/>
      <c r="W39" s="95"/>
      <c r="X39" s="103" t="s">
        <v>63</v>
      </c>
      <c r="Y39" s="102"/>
      <c r="Z39" s="103" t="s">
        <v>61</v>
      </c>
      <c r="AA39" s="103" t="s">
        <v>69</v>
      </c>
      <c r="AB39" s="102"/>
      <c r="AC39" s="96"/>
      <c r="AD39" s="95"/>
      <c r="AE39" s="95"/>
      <c r="AF39" s="95"/>
      <c r="AG39" s="96"/>
      <c r="AH39" s="95"/>
      <c r="AI39" s="87"/>
      <c r="AJ39" s="77"/>
      <c r="AK39" s="77"/>
      <c r="AL39" s="77"/>
      <c r="AM39" s="59" t="s">
        <v>68</v>
      </c>
    </row>
    <row r="40" spans="1:39" ht="19.5" customHeight="1" x14ac:dyDescent="0.35">
      <c r="A40" s="111"/>
      <c r="B40" s="59" t="s">
        <v>72</v>
      </c>
      <c r="C40" s="87"/>
      <c r="D40" s="87"/>
      <c r="E40" s="95"/>
      <c r="F40" s="87"/>
      <c r="G40" s="87"/>
      <c r="H40" s="87"/>
      <c r="I40" s="87"/>
      <c r="J40" s="102"/>
      <c r="K40" s="95"/>
      <c r="L40" s="102"/>
      <c r="M40" s="87"/>
      <c r="N40" s="87"/>
      <c r="O40" s="102"/>
      <c r="P40" s="102"/>
      <c r="Q40" s="95"/>
      <c r="R40" s="87"/>
      <c r="S40" s="95"/>
      <c r="T40" s="95"/>
      <c r="U40" s="102"/>
      <c r="V40" s="95"/>
      <c r="W40" s="95"/>
      <c r="X40" s="102"/>
      <c r="Y40" s="87"/>
      <c r="Z40" s="102"/>
      <c r="AA40" s="102"/>
      <c r="AB40" s="108" t="s">
        <v>89</v>
      </c>
      <c r="AC40" s="95"/>
      <c r="AD40" s="87"/>
      <c r="AE40" s="95"/>
      <c r="AF40" s="95"/>
      <c r="AG40" s="95"/>
      <c r="AH40" s="87"/>
      <c r="AI40" s="87"/>
      <c r="AJ40" s="77"/>
      <c r="AK40" s="77"/>
      <c r="AL40" s="77"/>
      <c r="AM40" s="59" t="s">
        <v>72</v>
      </c>
    </row>
    <row r="41" spans="1:39" ht="19.5" customHeight="1" x14ac:dyDescent="0.35">
      <c r="A41" s="111"/>
      <c r="B41" s="71" t="s">
        <v>73</v>
      </c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95"/>
      <c r="W41" s="87"/>
      <c r="X41" s="87"/>
      <c r="Y41" s="87"/>
      <c r="Z41" s="87"/>
      <c r="AA41" s="76"/>
      <c r="AB41" s="102"/>
      <c r="AC41" s="87"/>
      <c r="AD41" s="87"/>
      <c r="AE41" s="87"/>
      <c r="AF41" s="87"/>
      <c r="AG41" s="87"/>
      <c r="AH41" s="87"/>
      <c r="AI41" s="87"/>
      <c r="AJ41" s="77"/>
      <c r="AK41" s="77"/>
      <c r="AL41" s="77"/>
      <c r="AM41" s="71" t="s">
        <v>73</v>
      </c>
    </row>
    <row r="42" spans="1:39" ht="19.5" customHeight="1" x14ac:dyDescent="0.35">
      <c r="A42" s="112" t="s">
        <v>99</v>
      </c>
      <c r="B42" s="72" t="s">
        <v>39</v>
      </c>
      <c r="C42" s="73"/>
      <c r="D42" s="73"/>
      <c r="E42" s="73"/>
      <c r="F42" s="104" t="s">
        <v>148</v>
      </c>
      <c r="G42" s="104" t="s">
        <v>149</v>
      </c>
      <c r="H42" s="104" t="s">
        <v>65</v>
      </c>
      <c r="I42" s="105" t="s">
        <v>71</v>
      </c>
      <c r="J42" s="101" t="s">
        <v>83</v>
      </c>
      <c r="K42" s="73"/>
      <c r="L42" s="73"/>
      <c r="M42" s="73"/>
      <c r="N42" s="73"/>
      <c r="O42" s="107" t="s">
        <v>93</v>
      </c>
      <c r="P42" s="96"/>
      <c r="Q42" s="101" t="s">
        <v>52</v>
      </c>
      <c r="R42" s="101" t="s">
        <v>54</v>
      </c>
      <c r="S42" s="73"/>
      <c r="T42" s="73"/>
      <c r="U42" s="73"/>
      <c r="V42" s="73"/>
      <c r="W42" s="96"/>
      <c r="X42" s="73"/>
      <c r="Y42" s="73"/>
      <c r="Z42" s="96"/>
      <c r="AA42" s="91"/>
      <c r="AB42" s="108" t="s">
        <v>44</v>
      </c>
      <c r="AC42" s="105" t="s">
        <v>46</v>
      </c>
      <c r="AD42" s="96"/>
      <c r="AE42" s="73"/>
      <c r="AF42" s="73"/>
      <c r="AG42" s="96"/>
      <c r="AH42" s="73"/>
      <c r="AI42" s="96"/>
      <c r="AJ42" s="77"/>
      <c r="AK42" s="77"/>
      <c r="AL42" s="77"/>
      <c r="AM42" s="72" t="s">
        <v>39</v>
      </c>
    </row>
    <row r="43" spans="1:39" ht="19.5" customHeight="1" x14ac:dyDescent="0.35">
      <c r="A43" s="111"/>
      <c r="B43" s="72" t="s">
        <v>48</v>
      </c>
      <c r="C43" s="73"/>
      <c r="D43" s="96"/>
      <c r="E43" s="73"/>
      <c r="F43" s="102"/>
      <c r="G43" s="102"/>
      <c r="H43" s="102"/>
      <c r="I43" s="102"/>
      <c r="J43" s="102"/>
      <c r="K43" s="86"/>
      <c r="L43" s="96"/>
      <c r="M43" s="73"/>
      <c r="N43" s="86"/>
      <c r="O43" s="102"/>
      <c r="P43" s="95"/>
      <c r="Q43" s="102"/>
      <c r="R43" s="102"/>
      <c r="S43" s="96"/>
      <c r="T43" s="73"/>
      <c r="U43" s="73"/>
      <c r="V43" s="73"/>
      <c r="W43" s="95"/>
      <c r="X43" s="73"/>
      <c r="Y43" s="73"/>
      <c r="Z43" s="95"/>
      <c r="AA43" s="73"/>
      <c r="AB43" s="102"/>
      <c r="AC43" s="102"/>
      <c r="AD43" s="95"/>
      <c r="AE43" s="73"/>
      <c r="AF43" s="73"/>
      <c r="AG43" s="95"/>
      <c r="AH43" s="96"/>
      <c r="AI43" s="95"/>
      <c r="AJ43" s="77"/>
      <c r="AK43" s="77"/>
      <c r="AL43" s="77"/>
      <c r="AM43" s="72" t="s">
        <v>48</v>
      </c>
    </row>
    <row r="44" spans="1:39" ht="19.5" customHeight="1" x14ac:dyDescent="0.35">
      <c r="A44" s="111"/>
      <c r="B44" s="72" t="s">
        <v>49</v>
      </c>
      <c r="C44" s="73"/>
      <c r="D44" s="95"/>
      <c r="E44" s="73"/>
      <c r="F44" s="108" t="s">
        <v>144</v>
      </c>
      <c r="G44" s="73"/>
      <c r="H44" s="108" t="s">
        <v>82</v>
      </c>
      <c r="I44" s="73"/>
      <c r="J44" s="73"/>
      <c r="K44" s="73"/>
      <c r="L44" s="95"/>
      <c r="M44" s="104" t="s">
        <v>43</v>
      </c>
      <c r="N44" s="106" t="s">
        <v>75</v>
      </c>
      <c r="O44" s="107" t="s">
        <v>93</v>
      </c>
      <c r="P44" s="96"/>
      <c r="Q44" s="101" t="s">
        <v>42</v>
      </c>
      <c r="R44" s="73"/>
      <c r="S44" s="95"/>
      <c r="T44" s="73"/>
      <c r="U44" s="73"/>
      <c r="V44" s="73"/>
      <c r="W44" s="95"/>
      <c r="X44" s="103" t="s">
        <v>60</v>
      </c>
      <c r="Y44" s="96"/>
      <c r="Z44" s="95"/>
      <c r="AA44" s="96"/>
      <c r="AB44" s="73"/>
      <c r="AC44" s="73"/>
      <c r="AD44" s="96"/>
      <c r="AE44" s="73"/>
      <c r="AF44" s="73"/>
      <c r="AG44" s="96"/>
      <c r="AH44" s="95"/>
      <c r="AI44" s="96"/>
      <c r="AJ44" s="77"/>
      <c r="AK44" s="77"/>
      <c r="AL44" s="77"/>
      <c r="AM44" s="72" t="s">
        <v>49</v>
      </c>
    </row>
    <row r="45" spans="1:39" ht="19.5" customHeight="1" x14ac:dyDescent="0.35">
      <c r="A45" s="111"/>
      <c r="B45" s="72" t="s">
        <v>55</v>
      </c>
      <c r="C45" s="73"/>
      <c r="D45" s="95"/>
      <c r="E45" s="73"/>
      <c r="F45" s="102"/>
      <c r="G45" s="73"/>
      <c r="H45" s="102"/>
      <c r="I45" s="73"/>
      <c r="J45" s="73"/>
      <c r="K45" s="73"/>
      <c r="L45" s="95"/>
      <c r="M45" s="102"/>
      <c r="N45" s="102"/>
      <c r="O45" s="102"/>
      <c r="P45" s="95"/>
      <c r="Q45" s="102"/>
      <c r="R45" s="73"/>
      <c r="S45" s="95"/>
      <c r="T45" s="73"/>
      <c r="U45" s="73"/>
      <c r="V45" s="73"/>
      <c r="W45" s="95"/>
      <c r="X45" s="102"/>
      <c r="Y45" s="95"/>
      <c r="Z45" s="95"/>
      <c r="AA45" s="95"/>
      <c r="AB45" s="73"/>
      <c r="AC45" s="73"/>
      <c r="AD45" s="95"/>
      <c r="AE45" s="73"/>
      <c r="AF45" s="73"/>
      <c r="AG45" s="95"/>
      <c r="AH45" s="95"/>
      <c r="AI45" s="95"/>
      <c r="AJ45" s="77"/>
      <c r="AK45" s="77"/>
      <c r="AL45" s="77"/>
      <c r="AM45" s="72" t="s">
        <v>55</v>
      </c>
    </row>
    <row r="46" spans="1:39" ht="19.5" customHeight="1" x14ac:dyDescent="0.35">
      <c r="A46" s="111"/>
      <c r="B46" s="69" t="s">
        <v>57</v>
      </c>
      <c r="C46" s="83"/>
      <c r="D46" s="83"/>
      <c r="E46" s="84"/>
      <c r="F46" s="83"/>
      <c r="G46" s="83"/>
      <c r="H46" s="83"/>
      <c r="I46" s="83"/>
      <c r="J46" s="83"/>
      <c r="K46" s="84"/>
      <c r="L46" s="84"/>
      <c r="M46" s="84"/>
      <c r="N46" s="84"/>
      <c r="O46" s="83"/>
      <c r="P46" s="83"/>
      <c r="Q46" s="83"/>
      <c r="R46" s="84"/>
      <c r="S46" s="84"/>
      <c r="T46" s="83"/>
      <c r="U46" s="84"/>
      <c r="V46" s="84"/>
      <c r="W46" s="84"/>
      <c r="X46" s="83"/>
      <c r="Y46" s="84"/>
      <c r="Z46" s="84"/>
      <c r="AA46" s="84"/>
      <c r="AB46" s="83"/>
      <c r="AC46" s="84"/>
      <c r="AD46" s="83"/>
      <c r="AE46" s="83"/>
      <c r="AF46" s="83"/>
      <c r="AG46" s="84"/>
      <c r="AH46" s="84"/>
      <c r="AI46" s="83"/>
      <c r="AJ46" s="77"/>
      <c r="AK46" s="77"/>
      <c r="AL46" s="77"/>
      <c r="AM46" s="69" t="s">
        <v>57</v>
      </c>
    </row>
    <row r="47" spans="1:39" ht="19.5" customHeight="1" x14ac:dyDescent="0.35">
      <c r="A47" s="111"/>
      <c r="B47" s="69" t="s">
        <v>58</v>
      </c>
      <c r="C47" s="83"/>
      <c r="D47" s="83"/>
      <c r="E47" s="84"/>
      <c r="F47" s="83"/>
      <c r="G47" s="83"/>
      <c r="H47" s="83"/>
      <c r="I47" s="83"/>
      <c r="J47" s="83"/>
      <c r="K47" s="84"/>
      <c r="L47" s="84"/>
      <c r="M47" s="84"/>
      <c r="N47" s="84"/>
      <c r="O47" s="83"/>
      <c r="P47" s="83"/>
      <c r="Q47" s="83"/>
      <c r="R47" s="84"/>
      <c r="S47" s="84"/>
      <c r="T47" s="83"/>
      <c r="U47" s="84"/>
      <c r="V47" s="84"/>
      <c r="W47" s="84"/>
      <c r="X47" s="83"/>
      <c r="Y47" s="84"/>
      <c r="Z47" s="84"/>
      <c r="AA47" s="84"/>
      <c r="AB47" s="83"/>
      <c r="AC47" s="84"/>
      <c r="AD47" s="83"/>
      <c r="AE47" s="83"/>
      <c r="AF47" s="83"/>
      <c r="AG47" s="84"/>
      <c r="AH47" s="84"/>
      <c r="AI47" s="83"/>
      <c r="AJ47" s="77"/>
      <c r="AK47" s="77"/>
      <c r="AL47" s="77"/>
      <c r="AM47" s="69" t="s">
        <v>58</v>
      </c>
    </row>
    <row r="48" spans="1:39" ht="19.5" customHeight="1" x14ac:dyDescent="0.35">
      <c r="A48" s="111"/>
      <c r="B48" s="72" t="s">
        <v>67</v>
      </c>
      <c r="C48" s="96"/>
      <c r="D48" s="73"/>
      <c r="E48" s="73"/>
      <c r="F48" s="105" t="s">
        <v>138</v>
      </c>
      <c r="G48" s="73"/>
      <c r="H48" s="73"/>
      <c r="I48" s="73"/>
      <c r="J48" s="73"/>
      <c r="K48" s="73"/>
      <c r="L48" s="106" t="s">
        <v>50</v>
      </c>
      <c r="M48" s="73"/>
      <c r="N48" s="103" t="s">
        <v>60</v>
      </c>
      <c r="O48" s="103" t="s">
        <v>63</v>
      </c>
      <c r="P48" s="73"/>
      <c r="Q48" s="101" t="s">
        <v>83</v>
      </c>
      <c r="R48" s="103" t="s">
        <v>69</v>
      </c>
      <c r="S48" s="73"/>
      <c r="T48" s="96"/>
      <c r="U48" s="73"/>
      <c r="V48" s="73"/>
      <c r="W48" s="96"/>
      <c r="X48" s="103" t="s">
        <v>61</v>
      </c>
      <c r="Y48" s="73"/>
      <c r="Z48" s="96"/>
      <c r="AA48" s="103" t="s">
        <v>62</v>
      </c>
      <c r="AB48" s="108" t="s">
        <v>85</v>
      </c>
      <c r="AC48" s="105" t="s">
        <v>64</v>
      </c>
      <c r="AD48" s="96"/>
      <c r="AE48" s="73"/>
      <c r="AF48" s="73"/>
      <c r="AG48" s="96"/>
      <c r="AH48" s="73"/>
      <c r="AI48" s="73"/>
      <c r="AJ48" s="77"/>
      <c r="AK48" s="97"/>
      <c r="AL48" s="77"/>
      <c r="AM48" s="72" t="s">
        <v>67</v>
      </c>
    </row>
    <row r="49" spans="1:39" ht="19.5" customHeight="1" x14ac:dyDescent="0.35">
      <c r="A49" s="111"/>
      <c r="B49" s="72" t="s">
        <v>68</v>
      </c>
      <c r="C49" s="95"/>
      <c r="D49" s="73"/>
      <c r="E49" s="73"/>
      <c r="F49" s="102"/>
      <c r="G49" s="73"/>
      <c r="H49" s="73"/>
      <c r="I49" s="73"/>
      <c r="J49" s="73"/>
      <c r="K49" s="73"/>
      <c r="L49" s="102"/>
      <c r="M49" s="104" t="s">
        <v>77</v>
      </c>
      <c r="N49" s="102"/>
      <c r="O49" s="102"/>
      <c r="P49" s="73"/>
      <c r="Q49" s="102"/>
      <c r="R49" s="102"/>
      <c r="S49" s="104" t="s">
        <v>47</v>
      </c>
      <c r="T49" s="95"/>
      <c r="U49" s="104" t="s">
        <v>59</v>
      </c>
      <c r="V49" s="73"/>
      <c r="W49" s="95"/>
      <c r="X49" s="102"/>
      <c r="Y49" s="73"/>
      <c r="Z49" s="95"/>
      <c r="AA49" s="102"/>
      <c r="AB49" s="102"/>
      <c r="AC49" s="102"/>
      <c r="AD49" s="95"/>
      <c r="AE49" s="73"/>
      <c r="AF49" s="73"/>
      <c r="AG49" s="95"/>
      <c r="AH49" s="73"/>
      <c r="AI49" s="73"/>
      <c r="AJ49" s="77"/>
      <c r="AK49" s="95"/>
      <c r="AL49" s="77"/>
      <c r="AM49" s="72" t="s">
        <v>68</v>
      </c>
    </row>
    <row r="50" spans="1:39" ht="19.5" customHeight="1" x14ac:dyDescent="0.35">
      <c r="A50" s="111"/>
      <c r="B50" s="72" t="s">
        <v>72</v>
      </c>
      <c r="C50" s="95"/>
      <c r="D50" s="73"/>
      <c r="E50" s="73"/>
      <c r="F50" s="73"/>
      <c r="G50" s="73"/>
      <c r="H50" s="73"/>
      <c r="I50" s="73"/>
      <c r="J50" s="73"/>
      <c r="K50" s="73"/>
      <c r="L50" s="73"/>
      <c r="M50" s="102"/>
      <c r="N50" s="73"/>
      <c r="O50" s="73"/>
      <c r="P50" s="73"/>
      <c r="Q50" s="73"/>
      <c r="R50" s="103" t="s">
        <v>70</v>
      </c>
      <c r="S50" s="102"/>
      <c r="T50" s="95"/>
      <c r="U50" s="102"/>
      <c r="V50" s="73"/>
      <c r="W50" s="95"/>
      <c r="X50" s="73"/>
      <c r="Y50" s="73"/>
      <c r="Z50" s="95"/>
      <c r="AA50" s="103" t="s">
        <v>62</v>
      </c>
      <c r="AB50" s="108" t="s">
        <v>100</v>
      </c>
      <c r="AC50" s="73"/>
      <c r="AD50" s="73"/>
      <c r="AE50" s="73"/>
      <c r="AF50" s="73"/>
      <c r="AG50" s="73"/>
      <c r="AH50" s="73"/>
      <c r="AI50" s="73"/>
      <c r="AJ50" s="77"/>
      <c r="AK50" s="97"/>
      <c r="AL50" s="77"/>
      <c r="AM50" s="72" t="s">
        <v>72</v>
      </c>
    </row>
    <row r="51" spans="1:39" ht="19.5" customHeight="1" x14ac:dyDescent="0.35">
      <c r="A51" s="111"/>
      <c r="B51" s="70" t="s">
        <v>73</v>
      </c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102"/>
      <c r="S51" s="73"/>
      <c r="T51" s="73"/>
      <c r="U51" s="73"/>
      <c r="V51" s="73"/>
      <c r="W51" s="73"/>
      <c r="X51" s="73"/>
      <c r="Y51" s="73"/>
      <c r="Z51" s="73"/>
      <c r="AA51" s="102"/>
      <c r="AB51" s="102"/>
      <c r="AC51" s="73"/>
      <c r="AD51" s="73"/>
      <c r="AE51" s="73"/>
      <c r="AF51" s="73"/>
      <c r="AG51" s="73"/>
      <c r="AH51" s="73"/>
      <c r="AI51" s="73"/>
      <c r="AJ51" s="77"/>
      <c r="AK51" s="95"/>
      <c r="AL51" s="77"/>
      <c r="AM51" s="70" t="s">
        <v>73</v>
      </c>
    </row>
    <row r="52" spans="1:39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3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.7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1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 spans="1:39" ht="15.7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spans="1:39" ht="15.7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spans="1:39" ht="15.7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spans="1:39" ht="15.7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spans="1:39" ht="15.7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spans="1:39" ht="15.7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 spans="1:39" ht="15.7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spans="1:39" ht="15.7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</row>
    <row r="91" spans="1:39" ht="15.7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</row>
    <row r="92" spans="1:39" ht="15.7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</row>
    <row r="93" spans="1:39" ht="15.7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 spans="1:39" ht="15.7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 spans="1:39" ht="15.7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spans="1:39" ht="15.7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 spans="1:39" ht="15.7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spans="1:39" ht="15.7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 spans="1:39" ht="15.7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spans="1:39" ht="15.7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spans="1:39" ht="15.7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spans="1:39" ht="15.7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spans="1:39" ht="15.7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spans="1:39" ht="15.7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spans="1:39" ht="15.7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spans="1:39" ht="15.7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spans="1:39" ht="15.7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spans="1:39" ht="15.7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  <row r="109" spans="1:39" ht="15.7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 spans="1:39" ht="15.75" customHeigh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</row>
    <row r="111" spans="1:39" ht="15.75" customHeigh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 spans="1:39" ht="15.75" customHeigh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</row>
    <row r="113" spans="1:39" ht="15.75" customHeigh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</row>
    <row r="114" spans="1:39" ht="15.75" customHeigh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</row>
    <row r="115" spans="1:39" ht="15.75" customHeigh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</row>
    <row r="116" spans="1:39" ht="15.75" customHeigh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</row>
    <row r="117" spans="1:39" ht="15.75" customHeigh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</row>
    <row r="118" spans="1:39" ht="15.75" customHeigh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</row>
    <row r="119" spans="1:39" ht="15.75" customHeigh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</row>
    <row r="120" spans="1:39" ht="15.75" customHeigh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</row>
    <row r="121" spans="1:39" ht="15.75" customHeigh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</row>
    <row r="122" spans="1:39" ht="15.75" customHeigh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</row>
    <row r="123" spans="1:39" ht="15.75" customHeigh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</row>
    <row r="124" spans="1:39" ht="15.75" customHeigh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</row>
    <row r="125" spans="1:39" ht="15.75" customHeigh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</row>
    <row r="126" spans="1:39" ht="15.75" customHeigh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</row>
    <row r="127" spans="1:39" ht="15.75" customHeigh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</row>
    <row r="128" spans="1:39" ht="15.75" customHeigh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</row>
    <row r="129" spans="1:39" ht="15.75" customHeigh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 spans="1:39" ht="15.75" customHeigh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</row>
    <row r="131" spans="1:39" ht="15.75" customHeigh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 spans="1:39" ht="15.75" customHeigh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</row>
    <row r="133" spans="1:39" ht="15.75" customHeigh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</row>
    <row r="134" spans="1:39" ht="15.75" customHeigh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</row>
    <row r="135" spans="1:39" ht="15.75" customHeigh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</row>
    <row r="136" spans="1:39" ht="15.75" customHeigh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</row>
    <row r="137" spans="1:39" ht="15.75" customHeigh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 spans="1:39" ht="15.75" customHeigh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</row>
    <row r="139" spans="1:39" ht="15.75" customHeigh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</row>
    <row r="140" spans="1:39" ht="15.75" customHeigh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</row>
    <row r="141" spans="1:39" ht="15.75" customHeigh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spans="1:39" ht="15.75" customHeigh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</row>
    <row r="143" spans="1:39" ht="15.75" customHeigh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 spans="1:39" ht="15.75" customHeigh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</row>
    <row r="145" spans="1:39" ht="15.75" customHeigh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</row>
    <row r="146" spans="1:39" ht="15.75" customHeigh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</row>
    <row r="147" spans="1:39" ht="15.75" customHeigh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</row>
    <row r="148" spans="1:39" ht="15.75" customHeigh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</row>
    <row r="149" spans="1:39" ht="15.75" customHeigh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 spans="1:39" ht="15.75" customHeigh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</row>
    <row r="151" spans="1:39" ht="15.75" customHeigh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 spans="1:39" ht="15.75" customHeigh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</row>
    <row r="153" spans="1:39" ht="15.75" customHeigh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</row>
    <row r="154" spans="1:39" ht="15.75" customHeigh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</row>
    <row r="155" spans="1:39" ht="15.75" customHeigh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 spans="1:39" ht="15.75" customHeigh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</row>
    <row r="157" spans="1:39" ht="15.75" customHeigh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</row>
    <row r="158" spans="1:39" ht="15.75" customHeigh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</row>
    <row r="159" spans="1:39" ht="15.75" customHeigh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</row>
    <row r="160" spans="1:39" ht="15.75" customHeigh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</row>
    <row r="161" spans="1:39" ht="15.75" customHeigh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</row>
    <row r="162" spans="1:39" ht="15.75" customHeigh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</row>
    <row r="163" spans="1:39" ht="15.75" customHeigh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 spans="1:39" ht="15.75" customHeigh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</row>
    <row r="165" spans="1:39" ht="15.75" customHeigh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spans="1:39" ht="15.75" customHeigh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</row>
    <row r="167" spans="1:39" ht="15.75" customHeigh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  <row r="168" spans="1:39" ht="15.75" customHeigh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</row>
    <row r="169" spans="1:39" ht="15.75" customHeigh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 spans="1:39" ht="15.75" customHeigh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</row>
    <row r="171" spans="1:39" ht="15.75" customHeigh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</row>
    <row r="172" spans="1:39" ht="15.75" customHeigh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</row>
    <row r="173" spans="1:39" ht="15.75" customHeigh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 spans="1:39" ht="15.75" customHeigh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</row>
    <row r="175" spans="1:39" ht="15.75" customHeigh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</row>
    <row r="176" spans="1:39" ht="15.75" customHeigh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</row>
    <row r="177" spans="1:39" ht="15.75" customHeigh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</row>
    <row r="178" spans="1:39" ht="15.75" customHeigh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</row>
    <row r="179" spans="1:39" ht="15.75" customHeigh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</row>
    <row r="180" spans="1:39" ht="15.75" customHeigh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</row>
    <row r="181" spans="1:39" ht="15.75" customHeigh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</row>
    <row r="182" spans="1:39" ht="15.75" customHeigh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</row>
    <row r="183" spans="1:39" ht="15.75" customHeigh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</row>
    <row r="184" spans="1:39" ht="15.75" customHeigh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</row>
    <row r="185" spans="1:39" ht="15.75" customHeigh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</row>
    <row r="186" spans="1:39" ht="15.75" customHeigh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</row>
    <row r="187" spans="1:39" ht="15.75" customHeigh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</row>
    <row r="188" spans="1:39" ht="15.75" customHeigh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</row>
    <row r="189" spans="1:39" ht="15.75" customHeigh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 spans="1:39" ht="15.75" customHeigh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</row>
    <row r="191" spans="1:39" ht="15.75" customHeigh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</row>
    <row r="192" spans="1:39" ht="15.75" customHeigh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</row>
    <row r="193" spans="1:39" ht="15.75" customHeigh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</row>
    <row r="194" spans="1:39" ht="15.75" customHeigh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</row>
    <row r="195" spans="1:39" ht="15.75" customHeigh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</row>
    <row r="196" spans="1:39" ht="15.75" customHeigh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</row>
    <row r="197" spans="1:39" ht="15.75" customHeigh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</row>
    <row r="198" spans="1:39" ht="15.75" customHeigh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</row>
    <row r="199" spans="1:39" ht="15.75" customHeigh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</row>
    <row r="200" spans="1:39" ht="15.75" customHeigh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</row>
    <row r="201" spans="1:39" ht="15.75" customHeigh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</row>
    <row r="202" spans="1:39" ht="15.75" customHeigh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</row>
    <row r="203" spans="1:39" ht="15.75" customHeigh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</row>
    <row r="204" spans="1:39" ht="15.75" customHeigh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</row>
    <row r="205" spans="1:39" ht="15.75" customHeigh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</row>
    <row r="206" spans="1:39" ht="15.75" customHeigh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</row>
    <row r="207" spans="1:39" ht="15.75" customHeigh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 spans="1:39" ht="15.75" customHeigh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</row>
    <row r="209" spans="1:39" ht="15.75" customHeigh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  <row r="210" spans="1:39" ht="15.75" customHeigh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</row>
    <row r="211" spans="1:39" ht="15.75" customHeigh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</row>
    <row r="212" spans="1:39" ht="15.75" customHeigh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</row>
    <row r="213" spans="1:39" ht="15.75" customHeigh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</row>
    <row r="214" spans="1:39" ht="15.75" customHeigh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</row>
    <row r="215" spans="1:39" ht="15.75" customHeigh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</row>
    <row r="216" spans="1:39" ht="15.75" customHeigh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</row>
    <row r="217" spans="1:39" ht="15.75" customHeigh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</row>
    <row r="218" spans="1:39" ht="15.75" customHeigh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</row>
    <row r="219" spans="1:39" ht="15.75" customHeigh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</row>
    <row r="220" spans="1:39" ht="15.75" customHeigh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</row>
    <row r="221" spans="1:39" ht="15.75" customHeigh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</row>
    <row r="222" spans="1:39" ht="15.75" customHeigh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</row>
    <row r="223" spans="1:39" ht="15.75" customHeigh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</row>
    <row r="224" spans="1:39" ht="15.75" customHeigh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</row>
    <row r="225" spans="1:39" ht="15.75" customHeigh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</row>
    <row r="226" spans="1:39" ht="15.75" customHeigh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</row>
    <row r="227" spans="1:39" ht="15.75" customHeigh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</row>
    <row r="228" spans="1:39" ht="15.75" customHeigh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</row>
    <row r="229" spans="1:39" ht="15.75" customHeigh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</row>
    <row r="230" spans="1:39" ht="15.75" customHeigh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</row>
    <row r="231" spans="1:39" ht="15.75" customHeigh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</row>
    <row r="232" spans="1:39" ht="15.75" customHeigh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</row>
    <row r="233" spans="1:39" ht="15.75" customHeigh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</row>
    <row r="234" spans="1:39" ht="15.75" customHeigh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</row>
    <row r="235" spans="1:39" ht="15.75" customHeigh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</row>
    <row r="236" spans="1:39" ht="15.75" customHeigh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</row>
    <row r="237" spans="1:39" ht="15.75" customHeigh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</row>
    <row r="238" spans="1:39" ht="15.75" customHeigh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</row>
    <row r="239" spans="1:39" ht="15.75" customHeigh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</row>
    <row r="240" spans="1:39" ht="15.75" customHeigh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</row>
    <row r="241" spans="1:39" ht="15.75" customHeigh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</row>
    <row r="242" spans="1:39" ht="15.75" customHeigh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</row>
    <row r="243" spans="1:39" ht="15.75" customHeigh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</row>
    <row r="244" spans="1:39" ht="15.75" customHeigh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</row>
    <row r="245" spans="1:39" ht="15.75" customHeigh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</row>
    <row r="246" spans="1:39" ht="15.75" customHeigh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</row>
    <row r="247" spans="1:39" ht="15.75" customHeigh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</row>
    <row r="248" spans="1:39" ht="15.75" customHeigh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</row>
    <row r="249" spans="1:39" ht="15.75" customHeigh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</row>
    <row r="250" spans="1:39" ht="15.75" customHeigh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</row>
    <row r="251" spans="1:39" ht="15.75" customHeigh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</row>
    <row r="252" spans="1:39" ht="15.75" customHeight="1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5.75" customHeight="1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5.75" customHeight="1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5.75" customHeight="1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5.75" customHeight="1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5.75" customHeight="1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5.75" customHeight="1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5.75" customHeight="1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5.75" customHeight="1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5.75" customHeight="1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5.75" customHeight="1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5.75" customHeight="1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5.75" customHeight="1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5.75" customHeight="1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5.75" customHeight="1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5.75" customHeight="1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5.75" customHeight="1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5.75" customHeight="1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5.75" customHeight="1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5.75" customHeight="1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5.75" customHeight="1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5.75" customHeight="1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5.75" customHeight="1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5.75" customHeight="1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5.75" customHeight="1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5.75" customHeight="1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5.75" customHeight="1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5.75" customHeight="1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5.75" customHeight="1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5.75" customHeight="1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5.75" customHeight="1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5.75" customHeight="1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5.75" customHeight="1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5.75" customHeight="1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5.75" customHeight="1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5.75" customHeight="1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5.75" customHeight="1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5.75" customHeight="1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5.75" customHeight="1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5.75" customHeight="1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5.75" customHeight="1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5.75" customHeight="1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5.75" customHeight="1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5.75" customHeight="1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5.75" customHeight="1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5.75" customHeight="1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5.75" customHeight="1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5.75" customHeight="1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5.75" customHeight="1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5.75" customHeight="1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5.75" customHeight="1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5.75" customHeight="1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5.75" customHeight="1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5.75" customHeight="1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5.75" customHeight="1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5.75" customHeight="1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5.75" customHeight="1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5.75" customHeight="1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5.75" customHeight="1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5.75" customHeight="1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5.75" customHeight="1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5.75" customHeight="1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5.75" customHeight="1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5.75" customHeight="1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5.75" customHeight="1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5.75" customHeight="1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5.75" customHeight="1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5.75" customHeight="1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5.75" customHeight="1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5.75" customHeight="1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5.75" customHeight="1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5.75" customHeight="1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5.75" customHeight="1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5.75" customHeight="1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5.75" customHeight="1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5.75" customHeight="1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5.75" customHeight="1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5.75" customHeight="1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5.75" customHeight="1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5.75" customHeight="1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5.75" customHeight="1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5.75" customHeight="1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5.75" customHeight="1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5.75" customHeight="1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5.75" customHeight="1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5.75" customHeight="1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5.75" customHeight="1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5.75" customHeight="1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5.75" customHeight="1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5.75" customHeight="1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5.75" customHeight="1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5.75" customHeight="1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5.75" customHeight="1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5.75" customHeight="1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5.75" customHeight="1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5.75" customHeight="1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5.75" customHeight="1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5.75" customHeight="1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5.75" customHeight="1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5.75" customHeight="1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5.75" customHeight="1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5.75" customHeight="1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5.75" customHeight="1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5.75" customHeight="1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5.75" customHeight="1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5.75" customHeight="1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5.75" customHeight="1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5.75" customHeight="1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5.75" customHeight="1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5.75" customHeight="1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5.75" customHeight="1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5.75" customHeight="1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5.75" customHeight="1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5.75" customHeight="1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5.75" customHeight="1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5.75" customHeight="1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5.75" customHeight="1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5.75" customHeight="1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5.75" customHeight="1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5.75" customHeight="1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5.75" customHeight="1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5.75" customHeight="1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5.75" customHeight="1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5.75" customHeight="1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5.75" customHeight="1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5.75" customHeight="1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5.75" customHeight="1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5.75" customHeight="1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5.75" customHeight="1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5.75" customHeight="1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5.75" customHeight="1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5.75" customHeight="1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5.75" customHeight="1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5.75" customHeight="1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5.75" customHeight="1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5.75" customHeight="1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5.75" customHeight="1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5.75" customHeight="1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5.75" customHeight="1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5.75" customHeight="1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5.75" customHeight="1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5.75" customHeight="1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5.75" customHeight="1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5.75" customHeight="1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5.75" customHeight="1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5.75" customHeight="1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5.75" customHeight="1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5.75" customHeight="1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5.75" customHeight="1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5.75" customHeight="1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5.75" customHeight="1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5.75" customHeight="1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5.75" customHeight="1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5.75" customHeight="1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5.75" customHeight="1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5.75" customHeight="1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5.75" customHeight="1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5.75" customHeight="1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5.75" customHeight="1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5.75" customHeight="1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5.75" customHeight="1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5.75" customHeight="1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5.75" customHeight="1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5.75" customHeight="1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5.75" customHeight="1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5.75" customHeight="1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5.75" customHeight="1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5.75" customHeight="1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5.75" customHeight="1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5.75" customHeight="1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5.75" customHeight="1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5.75" customHeight="1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5.75" customHeight="1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5.75" customHeight="1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5.75" customHeight="1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5.75" customHeight="1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5.75" customHeight="1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5.75" customHeight="1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5.75" customHeight="1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5.75" customHeight="1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5.75" customHeight="1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5.75" customHeight="1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5.75" customHeight="1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5.75" customHeight="1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5.75" customHeight="1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5.75" customHeight="1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5.75" customHeight="1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5.75" customHeight="1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5.75" customHeight="1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5.75" customHeight="1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5.75" customHeight="1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5.75" customHeight="1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5.75" customHeight="1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5.75" customHeight="1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5.75" customHeight="1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5.75" customHeight="1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5.75" customHeight="1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5.75" customHeight="1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5.75" customHeight="1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5.75" customHeight="1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5.75" customHeight="1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5.75" customHeight="1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5.75" customHeight="1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5.75" customHeight="1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5.75" customHeight="1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5.75" customHeight="1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5.75" customHeight="1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5.75" customHeight="1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5.75" customHeight="1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5.75" customHeight="1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5.75" customHeight="1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5.75" customHeight="1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5.75" customHeight="1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5.75" customHeight="1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5.75" customHeight="1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5.75" customHeight="1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5.75" customHeight="1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5.75" customHeight="1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5.75" customHeight="1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5.75" customHeight="1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5.75" customHeight="1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5.75" customHeight="1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5.75" customHeight="1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5.75" customHeight="1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5.75" customHeight="1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5.75" customHeight="1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5.75" customHeight="1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5.75" customHeight="1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5.75" customHeight="1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5.75" customHeight="1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5.75" customHeight="1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5.75" customHeight="1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5.75" customHeight="1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5.75" customHeight="1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5.75" customHeight="1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5.75" customHeight="1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5.75" customHeight="1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5.75" customHeight="1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5.75" customHeight="1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5.75" customHeight="1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5.75" customHeight="1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5.75" customHeight="1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5.75" customHeight="1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5.75" customHeight="1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5.75" customHeight="1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5.75" customHeight="1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5.75" customHeight="1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5.75" customHeight="1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5.75" customHeight="1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5.75" customHeight="1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5.75" customHeight="1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5.75" customHeight="1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5.75" customHeight="1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5.75" customHeight="1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5.75" customHeight="1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5.75" customHeight="1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5.75" customHeight="1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5.75" customHeight="1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5.75" customHeight="1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5.75" customHeight="1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5.75" customHeight="1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5.75" customHeight="1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5.75" customHeight="1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5.75" customHeight="1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5.75" customHeight="1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5.75" customHeight="1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5.75" customHeight="1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5.75" customHeight="1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5.75" customHeight="1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5.75" customHeight="1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5.75" customHeight="1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5.75" customHeight="1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5.75" customHeight="1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5.75" customHeight="1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5.75" customHeight="1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5.75" customHeight="1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5.75" customHeight="1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5.75" customHeight="1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5.75" customHeight="1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5.75" customHeight="1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5.75" customHeight="1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5.75" customHeight="1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5.75" customHeight="1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5.75" customHeight="1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5.75" customHeight="1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5.75" customHeight="1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5.75" customHeight="1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5.75" customHeight="1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5.75" customHeight="1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5.75" customHeight="1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5.75" customHeight="1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5.75" customHeight="1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5.75" customHeight="1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5.75" customHeight="1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5.75" customHeight="1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5.75" customHeight="1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5.75" customHeight="1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5.75" customHeight="1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5.75" customHeight="1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5.75" customHeight="1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5.75" customHeight="1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5.75" customHeight="1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5.75" customHeight="1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5.75" customHeight="1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5.75" customHeight="1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5.75" customHeight="1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5.75" customHeight="1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5.75" customHeight="1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5.75" customHeight="1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5.75" customHeight="1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5.75" customHeight="1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5.75" customHeight="1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5.75" customHeight="1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5.75" customHeight="1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5.75" customHeight="1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5.75" customHeight="1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5.75" customHeight="1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5.75" customHeight="1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5.75" customHeight="1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5.75" customHeight="1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5.75" customHeight="1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5.75" customHeight="1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5.75" customHeight="1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5.75" customHeight="1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5.75" customHeight="1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5.75" customHeight="1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5.75" customHeight="1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5.75" customHeight="1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5.75" customHeight="1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5.75" customHeight="1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5.75" customHeight="1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5.75" customHeight="1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5.75" customHeight="1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5.75" customHeight="1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5.75" customHeight="1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5.75" customHeight="1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5.75" customHeight="1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5.75" customHeight="1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5.75" customHeight="1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5.75" customHeight="1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5.75" customHeight="1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5.75" customHeight="1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5.75" customHeight="1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5.75" customHeight="1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5.75" customHeight="1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5.75" customHeight="1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5.75" customHeight="1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5.75" customHeight="1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5.75" customHeight="1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5.75" customHeight="1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5.75" customHeight="1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5.75" customHeight="1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5.75" customHeight="1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5.75" customHeight="1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5.75" customHeight="1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5.75" customHeight="1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5.75" customHeight="1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5.75" customHeight="1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5.75" customHeight="1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5.75" customHeight="1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5.75" customHeight="1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5.75" customHeight="1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5.75" customHeight="1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5.75" customHeight="1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5.75" customHeight="1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5.75" customHeight="1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5.75" customHeight="1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5.75" customHeight="1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5.75" customHeight="1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5.75" customHeight="1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5.75" customHeight="1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5.75" customHeight="1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5.75" customHeight="1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5.75" customHeight="1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5.75" customHeight="1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5.75" customHeight="1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5.75" customHeight="1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5.75" customHeight="1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5.75" customHeight="1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5.75" customHeight="1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5.75" customHeight="1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5.75" customHeight="1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5.75" customHeight="1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5.75" customHeight="1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5.75" customHeight="1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5.75" customHeight="1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5.75" customHeight="1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5.75" customHeight="1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5.75" customHeight="1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5.75" customHeight="1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5.75" customHeight="1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5.75" customHeight="1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5.75" customHeight="1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5.75" customHeight="1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5.75" customHeight="1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5.75" customHeight="1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5.75" customHeight="1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5.75" customHeight="1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5.75" customHeight="1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5.75" customHeight="1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5.75" customHeight="1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5.75" customHeight="1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5.75" customHeight="1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5.75" customHeight="1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5.75" customHeight="1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5.75" customHeight="1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5.75" customHeight="1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5.75" customHeight="1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5.75" customHeight="1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5.75" customHeight="1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5.75" customHeight="1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5.75" customHeight="1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5.75" customHeight="1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5.75" customHeight="1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5.75" customHeight="1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5.75" customHeight="1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5.75" customHeight="1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5.75" customHeight="1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5.75" customHeight="1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5.75" customHeight="1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5.75" customHeight="1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5.75" customHeight="1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5.75" customHeight="1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5.75" customHeight="1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5.75" customHeight="1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5.75" customHeight="1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5.75" customHeight="1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5.75" customHeight="1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5.75" customHeight="1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5.75" customHeight="1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5.75" customHeight="1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5.75" customHeight="1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5.75" customHeight="1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5.75" customHeight="1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5.75" customHeight="1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5.75" customHeight="1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5.75" customHeight="1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5.75" customHeight="1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5.75" customHeight="1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5.75" customHeight="1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5.75" customHeight="1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5.75" customHeight="1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5.75" customHeight="1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5.75" customHeight="1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5.75" customHeight="1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5.75" customHeight="1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5.75" customHeight="1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5.75" customHeight="1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5.75" customHeight="1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5.75" customHeight="1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5.75" customHeight="1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5.75" customHeight="1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5.75" customHeight="1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5.75" customHeight="1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5.75" customHeight="1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5.75" customHeight="1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5.75" customHeight="1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5.75" customHeight="1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5.75" customHeight="1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5.75" customHeight="1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5.75" customHeight="1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5.75" customHeight="1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5.75" customHeight="1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5.75" customHeight="1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5.75" customHeight="1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5.75" customHeight="1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5.75" customHeight="1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5.75" customHeight="1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5.75" customHeight="1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5.75" customHeight="1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5.75" customHeight="1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5.75" customHeight="1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5.75" customHeight="1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5.75" customHeight="1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5.75" customHeight="1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5.75" customHeight="1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5.75" customHeight="1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5.75" customHeight="1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5.75" customHeight="1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5.75" customHeight="1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5.75" customHeight="1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5.75" customHeight="1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5.75" customHeight="1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5.75" customHeight="1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5.75" customHeight="1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5.75" customHeight="1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5.75" customHeight="1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5.75" customHeight="1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5.75" customHeight="1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5.75" customHeight="1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5.75" customHeight="1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5.75" customHeight="1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5.75" customHeight="1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5.75" customHeight="1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5.75" customHeight="1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5.75" customHeight="1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5.75" customHeight="1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5.75" customHeight="1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5.75" customHeight="1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5.75" customHeight="1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5.75" customHeight="1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5.75" customHeight="1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5.75" customHeight="1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5.75" customHeight="1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5.75" customHeight="1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5.75" customHeight="1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5.75" customHeight="1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5.75" customHeight="1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5.75" customHeight="1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5.75" customHeight="1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5.75" customHeight="1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5.75" customHeight="1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5.75" customHeight="1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5.75" customHeight="1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5.75" customHeight="1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5.75" customHeight="1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5.75" customHeight="1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5.75" customHeight="1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5.75" customHeight="1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5.75" customHeight="1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5.75" customHeight="1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5.75" customHeight="1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5.75" customHeight="1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5.75" customHeight="1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5.75" customHeight="1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5.75" customHeight="1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5.75" customHeight="1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5.75" customHeight="1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5.75" customHeight="1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5.75" customHeight="1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5.75" customHeight="1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5.75" customHeight="1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5.75" customHeight="1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5.75" customHeight="1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5.75" customHeight="1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5.75" customHeight="1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5.75" customHeight="1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5.75" customHeight="1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5.75" customHeight="1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5.75" customHeight="1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5.75" customHeight="1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5.75" customHeight="1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5.75" customHeight="1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5.75" customHeight="1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5.75" customHeight="1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5.75" customHeight="1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5.75" customHeight="1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5.75" customHeight="1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5.75" customHeight="1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5.75" customHeight="1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5.75" customHeight="1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5.75" customHeight="1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5.75" customHeight="1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5.75" customHeight="1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5.75" customHeight="1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5.75" customHeight="1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5.75" customHeight="1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5.75" customHeight="1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5.75" customHeight="1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5.75" customHeight="1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5.75" customHeight="1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5.75" customHeight="1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5.75" customHeight="1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5.75" customHeight="1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5.75" customHeight="1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5.75" customHeight="1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5.75" customHeight="1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5.75" customHeight="1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5.75" customHeight="1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5.75" customHeight="1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5.75" customHeight="1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5.75" customHeight="1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5.75" customHeight="1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5.75" customHeight="1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5.75" customHeight="1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5.75" customHeight="1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5.75" customHeight="1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5.75" customHeight="1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5.75" customHeight="1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5.75" customHeight="1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5.75" customHeight="1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5.75" customHeight="1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5.75" customHeight="1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5.75" customHeight="1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5.75" customHeight="1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5.75" customHeight="1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5.75" customHeight="1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5.75" customHeight="1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5.75" customHeight="1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5.75" customHeight="1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5.75" customHeight="1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5.75" customHeight="1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5.75" customHeight="1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5.75" customHeight="1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5.75" customHeight="1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5.75" customHeight="1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5.75" customHeight="1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5.75" customHeight="1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5.75" customHeight="1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5.75" customHeight="1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5.75" customHeight="1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5.75" customHeight="1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5.75" customHeight="1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5.75" customHeight="1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5.75" customHeight="1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5.75" customHeight="1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5.75" customHeight="1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5.75" customHeight="1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5.75" customHeight="1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5.75" customHeight="1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5.75" customHeight="1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5.75" customHeight="1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5.75" customHeight="1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5.75" customHeight="1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5.75" customHeight="1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5.75" customHeight="1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5.75" customHeight="1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5.75" customHeight="1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5.75" customHeight="1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5.75" customHeight="1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5.75" customHeight="1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5.75" customHeight="1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5.75" customHeight="1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5.75" customHeight="1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5.75" customHeight="1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5.75" customHeight="1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5.75" customHeight="1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5.75" customHeight="1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5.75" customHeight="1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5.75" customHeight="1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5.75" customHeight="1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5.75" customHeight="1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5.75" customHeight="1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5.75" customHeight="1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5.75" customHeight="1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5.75" customHeight="1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5.75" customHeight="1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5.75" customHeight="1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5.75" customHeight="1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5.75" customHeight="1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5.75" customHeight="1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5.75" customHeight="1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5.75" customHeight="1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5.75" customHeight="1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5.75" customHeight="1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5.75" customHeight="1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5.75" customHeight="1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5.75" customHeight="1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5.75" customHeight="1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5.75" customHeight="1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5.75" customHeight="1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5.75" customHeight="1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5.75" customHeight="1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5.75" customHeight="1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5.75" customHeight="1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5.75" customHeight="1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5.75" customHeight="1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5.75" customHeight="1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5.75" customHeight="1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5.75" customHeight="1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5.75" customHeight="1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5.75" customHeight="1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5.75" customHeight="1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5.75" customHeight="1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5.75" customHeight="1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5.75" customHeight="1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5.75" customHeight="1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5.75" customHeight="1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5.75" customHeight="1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5.75" customHeight="1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5.75" customHeight="1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5.75" customHeight="1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5.75" customHeight="1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5.75" customHeight="1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5.75" customHeight="1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5.75" customHeight="1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5.75" customHeight="1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5.75" customHeight="1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5.75" customHeight="1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5.75" customHeight="1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5.75" customHeight="1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5.75" customHeight="1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5.75" customHeight="1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5.75" customHeight="1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5.75" customHeight="1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5.75" customHeight="1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5.75" customHeight="1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5.75" customHeight="1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5.75" customHeight="1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5.75" customHeight="1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5.75" customHeight="1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5.75" customHeight="1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5.75" customHeight="1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5.75" customHeight="1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5.75" customHeight="1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5.75" customHeight="1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5.75" customHeight="1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5.75" customHeight="1" x14ac:dyDescent="0.3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5.75" customHeight="1" x14ac:dyDescent="0.3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5.75" customHeight="1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5.75" customHeight="1" x14ac:dyDescent="0.3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5.75" customHeight="1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5.75" customHeight="1" x14ac:dyDescent="0.3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5.75" customHeight="1" x14ac:dyDescent="0.3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5.75" customHeight="1" x14ac:dyDescent="0.3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5.75" customHeight="1" x14ac:dyDescent="0.3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5.75" customHeight="1" x14ac:dyDescent="0.3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5.75" customHeight="1" x14ac:dyDescent="0.3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5.75" customHeight="1" x14ac:dyDescent="0.3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5.75" customHeight="1" x14ac:dyDescent="0.3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5.75" customHeight="1" x14ac:dyDescent="0.3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5.75" customHeight="1" x14ac:dyDescent="0.3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5.75" customHeight="1" x14ac:dyDescent="0.3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5.75" customHeight="1" x14ac:dyDescent="0.3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5.75" customHeight="1" x14ac:dyDescent="0.3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5.75" customHeight="1" x14ac:dyDescent="0.3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5.75" customHeight="1" x14ac:dyDescent="0.3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5.75" customHeight="1" x14ac:dyDescent="0.3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5.75" customHeight="1" x14ac:dyDescent="0.3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5.75" customHeight="1" x14ac:dyDescent="0.3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5.75" customHeight="1" x14ac:dyDescent="0.3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5.75" customHeight="1" x14ac:dyDescent="0.3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5.75" customHeight="1" x14ac:dyDescent="0.3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5.75" customHeight="1" x14ac:dyDescent="0.3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5.75" customHeight="1" x14ac:dyDescent="0.3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5.75" customHeight="1" x14ac:dyDescent="0.3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5.75" customHeight="1" x14ac:dyDescent="0.3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5.75" customHeight="1" x14ac:dyDescent="0.3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5.75" customHeight="1" x14ac:dyDescent="0.3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5.75" customHeight="1" x14ac:dyDescent="0.3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5.75" customHeight="1" x14ac:dyDescent="0.3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5.75" customHeight="1" x14ac:dyDescent="0.3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5.75" customHeight="1" x14ac:dyDescent="0.3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5.75" customHeight="1" x14ac:dyDescent="0.3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5.75" customHeight="1" x14ac:dyDescent="0.3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5.75" customHeight="1" x14ac:dyDescent="0.3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5.75" customHeight="1" x14ac:dyDescent="0.3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5.75" customHeight="1" x14ac:dyDescent="0.3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5.75" customHeight="1" x14ac:dyDescent="0.3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5.75" customHeight="1" x14ac:dyDescent="0.3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5.75" customHeight="1" x14ac:dyDescent="0.3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5.75" customHeight="1" x14ac:dyDescent="0.3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5.75" customHeight="1" x14ac:dyDescent="0.3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5.75" customHeight="1" x14ac:dyDescent="0.3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5.75" customHeight="1" x14ac:dyDescent="0.3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5.75" customHeight="1" x14ac:dyDescent="0.3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5.75" customHeight="1" x14ac:dyDescent="0.3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5.75" customHeight="1" x14ac:dyDescent="0.3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5.75" customHeight="1" x14ac:dyDescent="0.3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</sheetData>
  <mergeCells count="192">
    <mergeCell ref="A2:A11"/>
    <mergeCell ref="E2:E3"/>
    <mergeCell ref="G2:G3"/>
    <mergeCell ref="I2:I3"/>
    <mergeCell ref="O2:O3"/>
    <mergeCell ref="P2:P3"/>
    <mergeCell ref="M9:M10"/>
    <mergeCell ref="I9:I10"/>
    <mergeCell ref="L9:L10"/>
    <mergeCell ref="AC42:AC43"/>
    <mergeCell ref="O7:O8"/>
    <mergeCell ref="P7:P8"/>
    <mergeCell ref="Q12:Q13"/>
    <mergeCell ref="O14:O15"/>
    <mergeCell ref="P14:P15"/>
    <mergeCell ref="Q14:Q15"/>
    <mergeCell ref="Q9:Q10"/>
    <mergeCell ref="J7:J8"/>
    <mergeCell ref="N44:N45"/>
    <mergeCell ref="L39:L40"/>
    <mergeCell ref="L37:L38"/>
    <mergeCell ref="F42:F43"/>
    <mergeCell ref="G42:G43"/>
    <mergeCell ref="H42:H43"/>
    <mergeCell ref="I42:I43"/>
    <mergeCell ref="AB38:AB39"/>
    <mergeCell ref="X37:X38"/>
    <mergeCell ref="Y38:Y39"/>
    <mergeCell ref="X39:X40"/>
    <mergeCell ref="AA39:AA40"/>
    <mergeCell ref="Z37:Z38"/>
    <mergeCell ref="Z39:Z40"/>
    <mergeCell ref="AB40:AB41"/>
    <mergeCell ref="AA37:AA38"/>
    <mergeCell ref="O44:O45"/>
    <mergeCell ref="X44:X45"/>
    <mergeCell ref="AB42:AB43"/>
    <mergeCell ref="Q42:Q43"/>
    <mergeCell ref="R42:R43"/>
    <mergeCell ref="V34:V35"/>
    <mergeCell ref="X34:X35"/>
    <mergeCell ref="Y34:Y35"/>
    <mergeCell ref="R38:R39"/>
    <mergeCell ref="O39:O40"/>
    <mergeCell ref="U37:U38"/>
    <mergeCell ref="U39:U40"/>
    <mergeCell ref="P39:P40"/>
    <mergeCell ref="S34:S35"/>
    <mergeCell ref="T34:T35"/>
    <mergeCell ref="O34:O35"/>
    <mergeCell ref="P34:P35"/>
    <mergeCell ref="AB50:AB51"/>
    <mergeCell ref="AA48:AA49"/>
    <mergeCell ref="AB48:AB49"/>
    <mergeCell ref="AC48:AC49"/>
    <mergeCell ref="U49:U50"/>
    <mergeCell ref="Q44:Q45"/>
    <mergeCell ref="Q48:Q49"/>
    <mergeCell ref="R48:R49"/>
    <mergeCell ref="X48:X49"/>
    <mergeCell ref="S49:S50"/>
    <mergeCell ref="R50:R51"/>
    <mergeCell ref="H27:H28"/>
    <mergeCell ref="J22:J23"/>
    <mergeCell ref="G14:G15"/>
    <mergeCell ref="H14:H15"/>
    <mergeCell ref="I22:I23"/>
    <mergeCell ref="F24:F25"/>
    <mergeCell ref="G24:G25"/>
    <mergeCell ref="E19:E20"/>
    <mergeCell ref="AA50:AA51"/>
    <mergeCell ref="M44:M45"/>
    <mergeCell ref="M49:M50"/>
    <mergeCell ref="J42:J43"/>
    <mergeCell ref="F44:F45"/>
    <mergeCell ref="H44:H45"/>
    <mergeCell ref="J34:J35"/>
    <mergeCell ref="L34:L35"/>
    <mergeCell ref="M34:M35"/>
    <mergeCell ref="H32:H33"/>
    <mergeCell ref="I32:I33"/>
    <mergeCell ref="G32:G33"/>
    <mergeCell ref="G34:G35"/>
    <mergeCell ref="G37:G38"/>
    <mergeCell ref="J39:J40"/>
    <mergeCell ref="O42:O43"/>
    <mergeCell ref="R9:R10"/>
    <mergeCell ref="F48:F49"/>
    <mergeCell ref="L48:L49"/>
    <mergeCell ref="N48:N49"/>
    <mergeCell ref="O48:O49"/>
    <mergeCell ref="A12:A21"/>
    <mergeCell ref="A22:A31"/>
    <mergeCell ref="A32:A41"/>
    <mergeCell ref="A42:A51"/>
    <mergeCell ref="E17:E18"/>
    <mergeCell ref="G17:G18"/>
    <mergeCell ref="I17:I18"/>
    <mergeCell ref="M17:M18"/>
    <mergeCell ref="N17:N18"/>
    <mergeCell ref="G19:G20"/>
    <mergeCell ref="N19:N20"/>
    <mergeCell ref="O17:O18"/>
    <mergeCell ref="O27:O28"/>
    <mergeCell ref="M29:M30"/>
    <mergeCell ref="J29:J30"/>
    <mergeCell ref="N29:N30"/>
    <mergeCell ref="N37:N38"/>
    <mergeCell ref="E27:E28"/>
    <mergeCell ref="G27:G28"/>
    <mergeCell ref="S8:S9"/>
    <mergeCell ref="T8:T9"/>
    <mergeCell ref="U8:U9"/>
    <mergeCell ref="Y7:Y8"/>
    <mergeCell ref="Z7:Z8"/>
    <mergeCell ref="W8:W9"/>
    <mergeCell ref="W14:W15"/>
    <mergeCell ref="X14:X15"/>
    <mergeCell ref="Z14:Z15"/>
    <mergeCell ref="X7:X8"/>
    <mergeCell ref="X9:X10"/>
    <mergeCell ref="Y9:Y10"/>
    <mergeCell ref="V12:V13"/>
    <mergeCell ref="W12:W13"/>
    <mergeCell ref="AC4:AC5"/>
    <mergeCell ref="AD4:AD5"/>
    <mergeCell ref="AF4:AF5"/>
    <mergeCell ref="AG4:AG5"/>
    <mergeCell ref="M3:M4"/>
    <mergeCell ref="N4:N5"/>
    <mergeCell ref="O4:O5"/>
    <mergeCell ref="S4:S5"/>
    <mergeCell ref="AB2:AB3"/>
    <mergeCell ref="U4:U5"/>
    <mergeCell ref="X4:X5"/>
    <mergeCell ref="Q2:Q3"/>
    <mergeCell ref="T2:T3"/>
    <mergeCell ref="Y2:Y3"/>
    <mergeCell ref="Z2:Z3"/>
    <mergeCell ref="Q4:Q5"/>
    <mergeCell ref="Z4:Z5"/>
    <mergeCell ref="V2:V3"/>
    <mergeCell ref="AK37:AK38"/>
    <mergeCell ref="AF27:AF28"/>
    <mergeCell ref="AD9:AD10"/>
    <mergeCell ref="Z9:Z10"/>
    <mergeCell ref="AB32:AB33"/>
    <mergeCell ref="Z34:Z35"/>
    <mergeCell ref="AB34:AB35"/>
    <mergeCell ref="W27:W28"/>
    <mergeCell ref="Y27:Y28"/>
    <mergeCell ref="AA27:AA28"/>
    <mergeCell ref="AB27:AB28"/>
    <mergeCell ref="X29:X30"/>
    <mergeCell ref="AA29:AA30"/>
    <mergeCell ref="AB12:AB13"/>
    <mergeCell ref="AC12:AC13"/>
    <mergeCell ref="AD12:AD13"/>
    <mergeCell ref="AC14:AC15"/>
    <mergeCell ref="AH17:AH18"/>
    <mergeCell ref="AH19:AH20"/>
    <mergeCell ref="P17:P18"/>
    <mergeCell ref="T17:T18"/>
    <mergeCell ref="AC17:AC18"/>
    <mergeCell ref="AC19:AC20"/>
    <mergeCell ref="P19:P20"/>
    <mergeCell ref="Q19:Q20"/>
    <mergeCell ref="Z17:Z18"/>
    <mergeCell ref="Z19:Z20"/>
    <mergeCell ref="Y20:Y21"/>
    <mergeCell ref="R19:R20"/>
    <mergeCell ref="L23:L24"/>
    <mergeCell ref="R27:R28"/>
    <mergeCell ref="R29:R30"/>
    <mergeCell ref="O32:O33"/>
    <mergeCell ref="AD22:AD23"/>
    <mergeCell ref="Y22:Y23"/>
    <mergeCell ref="Y24:Y25"/>
    <mergeCell ref="T22:T23"/>
    <mergeCell ref="S23:S24"/>
    <mergeCell ref="Q24:Q25"/>
    <mergeCell ref="T24:T25"/>
    <mergeCell ref="P22:P23"/>
    <mergeCell ref="AD27:AD28"/>
    <mergeCell ref="AB29:AB30"/>
    <mergeCell ref="Z24:Z25"/>
    <mergeCell ref="AA24:AA25"/>
    <mergeCell ref="V29:V30"/>
    <mergeCell ref="U29:U30"/>
    <mergeCell ref="Z22:Z23"/>
    <mergeCell ref="AA22:AA23"/>
    <mergeCell ref="V32:V3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0D45F-9B53-4999-A165-399521EDF30A}">
  <sheetPr>
    <tabColor rgb="FFFFC000"/>
    <outlinePr summaryBelow="0" summaryRight="0"/>
  </sheetPr>
  <dimension ref="A1:M929"/>
  <sheetViews>
    <sheetView zoomScale="70" zoomScaleNormal="70" workbookViewId="0"/>
  </sheetViews>
  <sheetFormatPr defaultColWidth="14.453125" defaultRowHeight="15" customHeight="1" x14ac:dyDescent="0.35"/>
  <cols>
    <col min="1" max="2" width="11.7265625" style="17" customWidth="1"/>
    <col min="3" max="3" width="34" style="36" bestFit="1" customWidth="1"/>
    <col min="4" max="12" width="17.1796875" style="17" customWidth="1"/>
    <col min="13" max="16384" width="14.453125" style="17"/>
  </cols>
  <sheetData>
    <row r="1" spans="1:11" ht="20.149999999999999" customHeight="1" x14ac:dyDescent="0.35">
      <c r="A1" s="15">
        <f>SUM(A3:A11)</f>
        <v>26.5</v>
      </c>
      <c r="B1" s="15">
        <f>SUM(B3:B11)</f>
        <v>10</v>
      </c>
      <c r="C1" s="16"/>
      <c r="D1" s="15"/>
      <c r="E1" s="15"/>
      <c r="F1" s="15"/>
      <c r="G1" s="15"/>
      <c r="H1" s="15"/>
      <c r="I1" s="15"/>
      <c r="J1" s="15"/>
    </row>
    <row r="2" spans="1:11" ht="20.149999999999999" customHeight="1" x14ac:dyDescent="0.35">
      <c r="A2" s="18" t="s">
        <v>205</v>
      </c>
      <c r="B2" s="18" t="s">
        <v>206</v>
      </c>
      <c r="C2" s="19" t="s">
        <v>106</v>
      </c>
      <c r="D2" s="20" t="s">
        <v>207</v>
      </c>
      <c r="E2" s="21" t="s">
        <v>208</v>
      </c>
      <c r="F2" s="20" t="s">
        <v>209</v>
      </c>
      <c r="G2" s="20" t="s">
        <v>210</v>
      </c>
      <c r="H2" s="20" t="s">
        <v>205</v>
      </c>
      <c r="I2" s="22" t="s">
        <v>211</v>
      </c>
      <c r="J2" s="22" t="s">
        <v>212</v>
      </c>
    </row>
    <row r="3" spans="1:11" ht="20.149999999999999" customHeight="1" x14ac:dyDescent="0.35">
      <c r="A3" s="23">
        <v>9</v>
      </c>
      <c r="B3" s="23">
        <v>0</v>
      </c>
      <c r="C3" s="24" t="s">
        <v>213</v>
      </c>
      <c r="D3" s="23">
        <f>69+15</f>
        <v>84</v>
      </c>
      <c r="E3" s="25">
        <v>0</v>
      </c>
      <c r="F3" s="23">
        <f>D3+E3</f>
        <v>84</v>
      </c>
      <c r="G3" s="26">
        <f>A3+B3</f>
        <v>9</v>
      </c>
      <c r="H3" s="27">
        <f>A3</f>
        <v>9</v>
      </c>
      <c r="I3" s="28">
        <f>$G$15*H3</f>
        <v>128.14925373134329</v>
      </c>
      <c r="J3" s="27">
        <f>I3-F3+E3</f>
        <v>44.149253731343293</v>
      </c>
      <c r="K3" s="29">
        <v>45</v>
      </c>
    </row>
    <row r="4" spans="1:11" ht="20.149999999999999" customHeight="1" x14ac:dyDescent="0.35">
      <c r="A4" s="23">
        <v>1</v>
      </c>
      <c r="B4" s="23">
        <v>1</v>
      </c>
      <c r="C4" s="24" t="s">
        <v>214</v>
      </c>
      <c r="D4" s="23">
        <v>26</v>
      </c>
      <c r="E4" s="25">
        <v>0</v>
      </c>
      <c r="F4" s="23">
        <f t="shared" ref="F4:F11" si="0">D4+E4</f>
        <v>26</v>
      </c>
      <c r="G4" s="26">
        <f t="shared" ref="G4:G11" si="1">A4+B4</f>
        <v>2</v>
      </c>
      <c r="H4" s="27">
        <f t="shared" ref="H4:H9" si="2">A4</f>
        <v>1</v>
      </c>
      <c r="I4" s="28">
        <f>$G$15*H4+E15</f>
        <v>22.907299120834185</v>
      </c>
      <c r="J4" s="27">
        <f t="shared" ref="J4:J8" si="3">I4-F4+E4</f>
        <v>-3.0927008791658146</v>
      </c>
      <c r="K4" s="29">
        <f t="shared" ref="K4" si="4">ROUND(J4,0)</f>
        <v>-3</v>
      </c>
    </row>
    <row r="5" spans="1:11" ht="20.149999999999999" customHeight="1" x14ac:dyDescent="0.35">
      <c r="A5" s="23">
        <v>6</v>
      </c>
      <c r="B5" s="30">
        <v>1</v>
      </c>
      <c r="C5" s="24" t="s">
        <v>215</v>
      </c>
      <c r="D5" s="23">
        <f>99+6</f>
        <v>105</v>
      </c>
      <c r="E5" s="25">
        <v>10</v>
      </c>
      <c r="F5" s="23">
        <f t="shared" si="0"/>
        <v>115</v>
      </c>
      <c r="G5" s="26">
        <f t="shared" si="1"/>
        <v>7</v>
      </c>
      <c r="H5" s="27">
        <f t="shared" si="2"/>
        <v>6</v>
      </c>
      <c r="I5" s="28">
        <f>$G$15*H5+E17</f>
        <v>87.101328971580458</v>
      </c>
      <c r="J5" s="27">
        <f>I5-F5+E5</f>
        <v>-17.898671028419542</v>
      </c>
      <c r="K5" s="29">
        <v>-17</v>
      </c>
    </row>
    <row r="6" spans="1:11" ht="20.149999999999999" customHeight="1" x14ac:dyDescent="0.35">
      <c r="A6" s="23">
        <v>3</v>
      </c>
      <c r="B6" s="23">
        <v>1</v>
      </c>
      <c r="C6" s="24" t="s">
        <v>216</v>
      </c>
      <c r="D6" s="23">
        <v>60</v>
      </c>
      <c r="E6" s="25">
        <v>0</v>
      </c>
      <c r="F6" s="23">
        <f>D6+E6</f>
        <v>60</v>
      </c>
      <c r="G6" s="26">
        <f t="shared" si="1"/>
        <v>4</v>
      </c>
      <c r="H6" s="27">
        <f t="shared" si="2"/>
        <v>3</v>
      </c>
      <c r="I6" s="28">
        <f>$G$15*H6+E18</f>
        <v>51.384911061132691</v>
      </c>
      <c r="J6" s="27">
        <f t="shared" si="3"/>
        <v>-8.6150889388673093</v>
      </c>
      <c r="K6" s="29">
        <v>-8</v>
      </c>
    </row>
    <row r="7" spans="1:11" ht="20.149999999999999" customHeight="1" x14ac:dyDescent="0.35">
      <c r="A7" s="23">
        <v>4</v>
      </c>
      <c r="B7" s="23">
        <v>2</v>
      </c>
      <c r="C7" s="24" t="s">
        <v>217</v>
      </c>
      <c r="D7" s="23">
        <f>62+14</f>
        <v>76</v>
      </c>
      <c r="E7" s="25">
        <v>4</v>
      </c>
      <c r="F7" s="23">
        <f t="shared" si="0"/>
        <v>80</v>
      </c>
      <c r="G7" s="26">
        <f t="shared" si="1"/>
        <v>6</v>
      </c>
      <c r="H7" s="27">
        <f t="shared" si="2"/>
        <v>4</v>
      </c>
      <c r="I7" s="28">
        <f>$G$15*H7+E19+E20</f>
        <v>71.492210181966882</v>
      </c>
      <c r="J7" s="27">
        <f t="shared" si="3"/>
        <v>-4.5077898180331175</v>
      </c>
      <c r="K7" s="29">
        <v>-4</v>
      </c>
    </row>
    <row r="8" spans="1:11" ht="20.149999999999999" customHeight="1" x14ac:dyDescent="0.35">
      <c r="A8" s="23">
        <v>0.5</v>
      </c>
      <c r="B8" s="30">
        <v>2</v>
      </c>
      <c r="C8" s="24" t="s">
        <v>218</v>
      </c>
      <c r="D8" s="23">
        <v>20</v>
      </c>
      <c r="E8" s="25">
        <v>6</v>
      </c>
      <c r="F8" s="23">
        <f t="shared" si="0"/>
        <v>26</v>
      </c>
      <c r="G8" s="26">
        <f>A8+B8</f>
        <v>2.5</v>
      </c>
      <c r="H8" s="27">
        <f t="shared" si="2"/>
        <v>0.5</v>
      </c>
      <c r="I8" s="28">
        <f>$G$15*H8+E21+E23</f>
        <v>20.256389286444488</v>
      </c>
      <c r="J8" s="27">
        <f t="shared" si="3"/>
        <v>0.25638928644448811</v>
      </c>
      <c r="K8" s="29">
        <v>1</v>
      </c>
    </row>
    <row r="9" spans="1:11" ht="20.149999999999999" customHeight="1" x14ac:dyDescent="0.35">
      <c r="A9" s="23">
        <v>3</v>
      </c>
      <c r="B9" s="23">
        <v>1</v>
      </c>
      <c r="C9" s="24" t="s">
        <v>219</v>
      </c>
      <c r="D9" s="23">
        <f>65+16</f>
        <v>81</v>
      </c>
      <c r="E9" s="25">
        <v>0</v>
      </c>
      <c r="F9" s="23">
        <f t="shared" si="0"/>
        <v>81</v>
      </c>
      <c r="G9" s="26">
        <f t="shared" si="1"/>
        <v>4</v>
      </c>
      <c r="H9" s="27">
        <f t="shared" si="2"/>
        <v>3</v>
      </c>
      <c r="I9" s="28">
        <f>$G$15*H9+E24</f>
        <v>51.384911061132691</v>
      </c>
      <c r="J9" s="27">
        <f>I9-F9+E9</f>
        <v>-29.615088938867309</v>
      </c>
      <c r="K9" s="29">
        <v>-29</v>
      </c>
    </row>
    <row r="10" spans="1:11" ht="20.149999999999999" customHeight="1" x14ac:dyDescent="0.35">
      <c r="A10" s="23">
        <v>0</v>
      </c>
      <c r="B10" s="23">
        <v>1</v>
      </c>
      <c r="C10" s="24" t="s">
        <v>220</v>
      </c>
      <c r="D10" s="23">
        <v>0</v>
      </c>
      <c r="E10" s="25">
        <v>5</v>
      </c>
      <c r="F10" s="23">
        <f t="shared" si="0"/>
        <v>5</v>
      </c>
      <c r="G10" s="26">
        <f t="shared" si="1"/>
        <v>1</v>
      </c>
      <c r="H10" s="27">
        <f>A10</f>
        <v>0</v>
      </c>
      <c r="I10" s="28">
        <f>$G$15*H10+E25</f>
        <v>5.168493150684931</v>
      </c>
      <c r="J10" s="27">
        <f>I10-F10+E10</f>
        <v>5.168493150684931</v>
      </c>
      <c r="K10" s="29">
        <v>6</v>
      </c>
    </row>
    <row r="11" spans="1:11" ht="20.149999999999999" customHeight="1" x14ac:dyDescent="0.35">
      <c r="A11" s="23">
        <v>0</v>
      </c>
      <c r="B11" s="23">
        <v>1</v>
      </c>
      <c r="C11" s="24" t="s">
        <v>221</v>
      </c>
      <c r="D11" s="23">
        <v>0</v>
      </c>
      <c r="E11" s="25">
        <v>0</v>
      </c>
      <c r="F11" s="23">
        <f t="shared" si="0"/>
        <v>0</v>
      </c>
      <c r="G11" s="26">
        <f t="shared" si="1"/>
        <v>1</v>
      </c>
      <c r="H11" s="27">
        <f>A11</f>
        <v>0</v>
      </c>
      <c r="I11" s="28">
        <f>$G$15*H11+E26</f>
        <v>8.668493150684931</v>
      </c>
      <c r="J11" s="27">
        <f>I11-F11+E11</f>
        <v>8.668493150684931</v>
      </c>
      <c r="K11" s="29">
        <v>9</v>
      </c>
    </row>
    <row r="12" spans="1:11" ht="20.149999999999999" customHeight="1" x14ac:dyDescent="0.35">
      <c r="C12" s="17"/>
      <c r="D12" s="15">
        <f>SUM(D3:D11)</f>
        <v>452</v>
      </c>
      <c r="E12" s="15">
        <f>SUM(E3:E11)</f>
        <v>25</v>
      </c>
      <c r="F12" s="31">
        <f>D12+E12</f>
        <v>477</v>
      </c>
      <c r="G12" s="32">
        <f>SUM(G3:G11)</f>
        <v>36.5</v>
      </c>
      <c r="H12" s="32">
        <f>SUM(H3:H11)</f>
        <v>26.5</v>
      </c>
      <c r="I12" s="33">
        <f>SUM(I3:I11)</f>
        <v>446.51328971580449</v>
      </c>
      <c r="J12" s="34"/>
      <c r="K12" s="35">
        <f>SUM(K3:K11)</f>
        <v>0</v>
      </c>
    </row>
    <row r="13" spans="1:11" ht="20.149999999999999" customHeight="1" x14ac:dyDescent="0.35">
      <c r="G13" s="37">
        <f>F12-E12</f>
        <v>452</v>
      </c>
      <c r="H13" s="38">
        <f>G13/G12</f>
        <v>12.383561643835616</v>
      </c>
      <c r="I13" s="39">
        <f>G27/H12</f>
        <v>14.44585164125097</v>
      </c>
      <c r="J13" s="29"/>
      <c r="K13" s="40"/>
    </row>
    <row r="14" spans="1:11" ht="20.149999999999999" customHeight="1" x14ac:dyDescent="0.35">
      <c r="A14" s="121" t="s">
        <v>222</v>
      </c>
      <c r="B14" s="121"/>
      <c r="C14" s="42" t="s">
        <v>206</v>
      </c>
      <c r="D14" s="41" t="s">
        <v>223</v>
      </c>
      <c r="E14" s="41" t="s">
        <v>224</v>
      </c>
      <c r="G14" s="29"/>
    </row>
    <row r="15" spans="1:11" ht="20.149999999999999" customHeight="1" x14ac:dyDescent="0.35">
      <c r="A15" s="116" t="s">
        <v>214</v>
      </c>
      <c r="B15" s="116"/>
      <c r="C15" s="43" t="s">
        <v>166</v>
      </c>
      <c r="D15" s="25">
        <v>0</v>
      </c>
      <c r="E15" s="44">
        <f>($H$13-D15)*0.7</f>
        <v>8.668493150684931</v>
      </c>
      <c r="F15" s="29"/>
      <c r="G15" s="45">
        <f>F12/(A1+B1*0.7)</f>
        <v>14.238805970149254</v>
      </c>
      <c r="H15" s="46">
        <f>G15/I13</f>
        <v>0.98566746521814719</v>
      </c>
      <c r="I15" s="47">
        <f>I12/G13</f>
        <v>0.98786126043319578</v>
      </c>
    </row>
    <row r="16" spans="1:11" ht="20.149999999999999" customHeight="1" x14ac:dyDescent="0.35">
      <c r="A16" s="120" t="s">
        <v>215</v>
      </c>
      <c r="B16" s="120"/>
      <c r="C16" s="49" t="s">
        <v>169</v>
      </c>
      <c r="D16" s="48">
        <v>0</v>
      </c>
      <c r="E16" s="50">
        <v>0</v>
      </c>
      <c r="F16" s="29"/>
    </row>
    <row r="17" spans="1:13" ht="20.149999999999999" customHeight="1" x14ac:dyDescent="0.35">
      <c r="A17" s="116" t="s">
        <v>215</v>
      </c>
      <c r="B17" s="116"/>
      <c r="C17" s="43" t="s">
        <v>171</v>
      </c>
      <c r="D17" s="25">
        <v>10</v>
      </c>
      <c r="E17" s="44">
        <f t="shared" ref="E17:E26" si="5">($H$13-D17)*0.7</f>
        <v>1.6684931506849312</v>
      </c>
      <c r="F17" s="29"/>
    </row>
    <row r="18" spans="1:13" ht="20.149999999999999" customHeight="1" x14ac:dyDescent="0.35">
      <c r="A18" s="116" t="s">
        <v>216</v>
      </c>
      <c r="B18" s="116"/>
      <c r="C18" s="43" t="s">
        <v>178</v>
      </c>
      <c r="D18" s="25">
        <v>0</v>
      </c>
      <c r="E18" s="44">
        <f t="shared" si="5"/>
        <v>8.668493150684931</v>
      </c>
      <c r="F18" s="29"/>
      <c r="G18" s="34"/>
    </row>
    <row r="19" spans="1:13" ht="20.149999999999999" customHeight="1" x14ac:dyDescent="0.35">
      <c r="A19" s="116" t="s">
        <v>217</v>
      </c>
      <c r="B19" s="116"/>
      <c r="C19" s="43" t="s">
        <v>183</v>
      </c>
      <c r="D19" s="25">
        <v>3</v>
      </c>
      <c r="E19" s="44">
        <f t="shared" si="5"/>
        <v>6.5684931506849313</v>
      </c>
      <c r="F19" s="29"/>
      <c r="G19" s="34"/>
    </row>
    <row r="20" spans="1:13" ht="20.149999999999999" customHeight="1" x14ac:dyDescent="0.35">
      <c r="A20" s="116" t="s">
        <v>217</v>
      </c>
      <c r="B20" s="116"/>
      <c r="C20" s="43" t="s">
        <v>184</v>
      </c>
      <c r="D20" s="25">
        <v>1</v>
      </c>
      <c r="E20" s="44">
        <f t="shared" si="5"/>
        <v>7.9684931506849308</v>
      </c>
      <c r="F20" s="29"/>
    </row>
    <row r="21" spans="1:13" ht="20.149999999999999" customHeight="1" x14ac:dyDescent="0.35">
      <c r="A21" s="116" t="s">
        <v>218</v>
      </c>
      <c r="B21" s="116"/>
      <c r="C21" s="43" t="s">
        <v>190</v>
      </c>
      <c r="D21" s="25">
        <v>6</v>
      </c>
      <c r="E21" s="44">
        <f t="shared" si="5"/>
        <v>4.4684931506849308</v>
      </c>
      <c r="F21" s="29"/>
    </row>
    <row r="22" spans="1:13" ht="20.149999999999999" customHeight="1" x14ac:dyDescent="0.35">
      <c r="A22" s="120" t="s">
        <v>218</v>
      </c>
      <c r="B22" s="120"/>
      <c r="C22" s="49" t="s">
        <v>191</v>
      </c>
      <c r="D22" s="48">
        <v>0</v>
      </c>
      <c r="E22" s="50">
        <v>0</v>
      </c>
      <c r="F22" s="29"/>
    </row>
    <row r="23" spans="1:13" ht="20.149999999999999" customHeight="1" x14ac:dyDescent="0.35">
      <c r="A23" s="116" t="s">
        <v>218</v>
      </c>
      <c r="B23" s="116"/>
      <c r="C23" s="43" t="s">
        <v>193</v>
      </c>
      <c r="D23" s="25">
        <v>0</v>
      </c>
      <c r="E23" s="44">
        <f>($H$13-D23)*0.7</f>
        <v>8.668493150684931</v>
      </c>
      <c r="F23" s="29"/>
    </row>
    <row r="24" spans="1:13" ht="20.149999999999999" customHeight="1" x14ac:dyDescent="0.35">
      <c r="A24" s="116" t="s">
        <v>219</v>
      </c>
      <c r="B24" s="116"/>
      <c r="C24" s="43" t="s">
        <v>196</v>
      </c>
      <c r="D24" s="25">
        <v>0</v>
      </c>
      <c r="E24" s="44">
        <f t="shared" si="5"/>
        <v>8.668493150684931</v>
      </c>
      <c r="F24" s="29"/>
    </row>
    <row r="25" spans="1:13" ht="20.149999999999999" customHeight="1" x14ac:dyDescent="0.35">
      <c r="A25" s="116" t="s">
        <v>220</v>
      </c>
      <c r="B25" s="116"/>
      <c r="C25" s="43" t="s">
        <v>201</v>
      </c>
      <c r="D25" s="25">
        <v>5</v>
      </c>
      <c r="E25" s="44">
        <f>($H$13-D25)*0.7</f>
        <v>5.168493150684931</v>
      </c>
      <c r="F25" s="29"/>
    </row>
    <row r="26" spans="1:13" ht="20.149999999999999" customHeight="1" x14ac:dyDescent="0.35">
      <c r="A26" s="116" t="s">
        <v>221</v>
      </c>
      <c r="B26" s="116"/>
      <c r="C26" s="43" t="s">
        <v>203</v>
      </c>
      <c r="D26" s="25">
        <v>0</v>
      </c>
      <c r="E26" s="44">
        <f t="shared" si="5"/>
        <v>8.668493150684931</v>
      </c>
      <c r="F26" s="29"/>
    </row>
    <row r="27" spans="1:13" ht="20.149999999999999" customHeight="1" x14ac:dyDescent="0.35">
      <c r="A27" s="29"/>
      <c r="B27" s="29"/>
      <c r="C27" s="29"/>
      <c r="D27" s="32">
        <f>SUM(D15:D26)</f>
        <v>25</v>
      </c>
      <c r="E27" s="31">
        <f>SUM(E15:E26)</f>
        <v>69.184931506849296</v>
      </c>
      <c r="F27" s="29"/>
      <c r="G27" s="51">
        <f>G13-E27</f>
        <v>382.8150684931507</v>
      </c>
    </row>
    <row r="28" spans="1:13" ht="20.149999999999999" customHeight="1" x14ac:dyDescent="0.35"/>
    <row r="29" spans="1:13" ht="22" customHeight="1" x14ac:dyDescent="0.35">
      <c r="D29" s="117" t="s">
        <v>225</v>
      </c>
      <c r="E29" s="117"/>
      <c r="F29" s="117"/>
      <c r="G29" s="117"/>
      <c r="H29" s="117"/>
      <c r="I29" s="117"/>
      <c r="J29" s="117"/>
      <c r="K29" s="117"/>
      <c r="L29" s="117"/>
    </row>
    <row r="30" spans="1:13" ht="22" customHeight="1" x14ac:dyDescent="0.35">
      <c r="C30" s="118" t="s">
        <v>226</v>
      </c>
      <c r="D30" s="53" t="s">
        <v>227</v>
      </c>
      <c r="E30" s="52" t="s">
        <v>102</v>
      </c>
      <c r="F30" s="52" t="s">
        <v>101</v>
      </c>
      <c r="G30" s="52" t="s">
        <v>228</v>
      </c>
      <c r="H30" s="52" t="s">
        <v>103</v>
      </c>
      <c r="I30" s="53" t="s">
        <v>104</v>
      </c>
      <c r="J30" s="52" t="s">
        <v>105</v>
      </c>
      <c r="K30" s="53" t="s">
        <v>229</v>
      </c>
      <c r="L30" s="53" t="s">
        <v>230</v>
      </c>
    </row>
    <row r="31" spans="1:13" ht="22" customHeight="1" x14ac:dyDescent="0.35">
      <c r="C31" s="119"/>
      <c r="D31" s="27">
        <f>K3</f>
        <v>45</v>
      </c>
      <c r="E31" s="27">
        <f>K4</f>
        <v>-3</v>
      </c>
      <c r="F31" s="27">
        <f>K5</f>
        <v>-17</v>
      </c>
      <c r="G31" s="27">
        <f>K6</f>
        <v>-8</v>
      </c>
      <c r="H31" s="27">
        <f>K7</f>
        <v>-4</v>
      </c>
      <c r="I31" s="27">
        <f>K8</f>
        <v>1</v>
      </c>
      <c r="J31" s="27">
        <f>K9</f>
        <v>-29</v>
      </c>
      <c r="K31" s="27">
        <f>K10</f>
        <v>6</v>
      </c>
      <c r="L31" s="27">
        <f>K11</f>
        <v>9</v>
      </c>
    </row>
    <row r="32" spans="1:13" ht="22" customHeight="1" x14ac:dyDescent="0.35">
      <c r="C32" s="54" t="s">
        <v>227</v>
      </c>
      <c r="D32" s="27"/>
      <c r="E32" s="32">
        <v>2</v>
      </c>
      <c r="F32" s="32">
        <v>13</v>
      </c>
      <c r="G32" s="32">
        <v>6</v>
      </c>
      <c r="H32" s="32">
        <v>3</v>
      </c>
      <c r="I32" s="27"/>
      <c r="J32" s="32">
        <v>21</v>
      </c>
      <c r="K32" s="27"/>
      <c r="L32" s="55"/>
      <c r="M32" s="27">
        <f>SUM(D32:L32)</f>
        <v>45</v>
      </c>
    </row>
    <row r="33" spans="3:13" ht="22" customHeight="1" x14ac:dyDescent="0.35">
      <c r="C33" s="53" t="s">
        <v>102</v>
      </c>
      <c r="D33" s="27"/>
      <c r="E33" s="27"/>
      <c r="F33" s="27"/>
      <c r="G33" s="27"/>
      <c r="H33" s="27"/>
      <c r="I33" s="27"/>
      <c r="J33" s="27"/>
      <c r="K33" s="27"/>
      <c r="L33" s="27"/>
      <c r="M33" s="29"/>
    </row>
    <row r="34" spans="3:13" ht="22" customHeight="1" x14ac:dyDescent="0.35">
      <c r="C34" s="53" t="s">
        <v>101</v>
      </c>
      <c r="D34" s="27"/>
      <c r="E34" s="27"/>
      <c r="F34" s="27"/>
      <c r="G34" s="27"/>
      <c r="H34" s="27"/>
      <c r="I34" s="27"/>
      <c r="J34" s="27"/>
      <c r="K34" s="27"/>
      <c r="L34" s="27"/>
      <c r="M34" s="29"/>
    </row>
    <row r="35" spans="3:13" ht="22" customHeight="1" x14ac:dyDescent="0.35">
      <c r="C35" s="53" t="s">
        <v>228</v>
      </c>
      <c r="D35" s="27"/>
      <c r="E35" s="27"/>
      <c r="F35" s="27"/>
      <c r="G35" s="27"/>
      <c r="H35" s="27"/>
      <c r="I35" s="27"/>
      <c r="J35" s="27"/>
      <c r="K35" s="27"/>
      <c r="L35" s="27"/>
      <c r="M35" s="29"/>
    </row>
    <row r="36" spans="3:13" ht="22" customHeight="1" x14ac:dyDescent="0.35">
      <c r="C36" s="53" t="s">
        <v>103</v>
      </c>
      <c r="D36" s="27"/>
      <c r="E36" s="27"/>
      <c r="F36" s="27"/>
      <c r="G36" s="27"/>
      <c r="H36" s="27"/>
      <c r="I36" s="27"/>
      <c r="J36" s="27"/>
      <c r="K36" s="27"/>
      <c r="L36" s="27"/>
      <c r="M36" s="29"/>
    </row>
    <row r="37" spans="3:13" ht="22" customHeight="1" x14ac:dyDescent="0.35">
      <c r="C37" s="54" t="s">
        <v>104</v>
      </c>
      <c r="D37" s="27"/>
      <c r="E37" s="27"/>
      <c r="F37" s="27"/>
      <c r="G37" s="27"/>
      <c r="H37" s="27"/>
      <c r="I37" s="27"/>
      <c r="J37" s="32">
        <v>1</v>
      </c>
      <c r="K37" s="27"/>
      <c r="L37" s="55"/>
      <c r="M37" s="27">
        <f t="shared" ref="M37:M40" si="6">SUM(D37:L37)</f>
        <v>1</v>
      </c>
    </row>
    <row r="38" spans="3:13" ht="22" customHeight="1" x14ac:dyDescent="0.35">
      <c r="C38" s="53" t="s">
        <v>105</v>
      </c>
      <c r="D38" s="27"/>
      <c r="E38" s="27"/>
      <c r="F38" s="27"/>
      <c r="G38" s="27"/>
      <c r="H38" s="27"/>
      <c r="I38" s="27"/>
      <c r="J38" s="27"/>
      <c r="K38" s="27"/>
      <c r="L38" s="27"/>
      <c r="M38" s="29"/>
    </row>
    <row r="39" spans="3:13" ht="22" customHeight="1" x14ac:dyDescent="0.35">
      <c r="C39" s="54" t="s">
        <v>231</v>
      </c>
      <c r="D39" s="27"/>
      <c r="E39" s="32">
        <v>0</v>
      </c>
      <c r="F39" s="32">
        <v>2</v>
      </c>
      <c r="G39" s="32">
        <v>1</v>
      </c>
      <c r="H39" s="32">
        <v>0</v>
      </c>
      <c r="I39" s="27"/>
      <c r="J39" s="32">
        <v>3</v>
      </c>
      <c r="K39" s="27"/>
      <c r="L39" s="55"/>
      <c r="M39" s="27">
        <f t="shared" si="6"/>
        <v>6</v>
      </c>
    </row>
    <row r="40" spans="3:13" ht="22" customHeight="1" x14ac:dyDescent="0.35">
      <c r="C40" s="54" t="s">
        <v>232</v>
      </c>
      <c r="D40" s="27"/>
      <c r="E40" s="56">
        <v>1</v>
      </c>
      <c r="F40" s="56">
        <v>2</v>
      </c>
      <c r="G40" s="56">
        <v>1</v>
      </c>
      <c r="H40" s="56">
        <v>1</v>
      </c>
      <c r="I40" s="27"/>
      <c r="J40" s="56">
        <v>4</v>
      </c>
      <c r="K40" s="27"/>
      <c r="L40" s="55"/>
      <c r="M40" s="27">
        <f t="shared" si="6"/>
        <v>9</v>
      </c>
    </row>
    <row r="41" spans="3:13" ht="22" customHeight="1" x14ac:dyDescent="0.35">
      <c r="D41" s="29"/>
      <c r="E41" s="27">
        <f t="shared" ref="E41:J41" si="7">SUM(E32:E40)</f>
        <v>3</v>
      </c>
      <c r="F41" s="27">
        <f t="shared" si="7"/>
        <v>17</v>
      </c>
      <c r="G41" s="27">
        <f t="shared" si="7"/>
        <v>8</v>
      </c>
      <c r="H41" s="27">
        <f t="shared" si="7"/>
        <v>4</v>
      </c>
      <c r="I41" s="29"/>
      <c r="J41" s="27">
        <f t="shared" si="7"/>
        <v>29</v>
      </c>
      <c r="K41" s="29"/>
      <c r="L41" s="29"/>
    </row>
    <row r="42" spans="3:13" ht="13.5" customHeight="1" x14ac:dyDescent="0.35">
      <c r="E42" s="57"/>
      <c r="F42" s="57"/>
      <c r="G42" s="57"/>
      <c r="H42" s="57"/>
      <c r="I42" s="57"/>
      <c r="J42" s="57"/>
      <c r="K42" s="57"/>
    </row>
    <row r="43" spans="3:13" ht="13.5" customHeight="1" x14ac:dyDescent="0.35">
      <c r="E43" s="57"/>
      <c r="F43" s="57"/>
      <c r="G43" s="57"/>
      <c r="H43" s="57"/>
      <c r="I43" s="57"/>
      <c r="J43" s="57"/>
      <c r="K43" s="57"/>
    </row>
    <row r="44" spans="3:13" ht="13.5" customHeight="1" x14ac:dyDescent="0.35"/>
    <row r="45" spans="3:13" ht="13.5" customHeight="1" x14ac:dyDescent="0.35"/>
    <row r="46" spans="3:13" ht="13.5" customHeight="1" x14ac:dyDescent="0.35"/>
    <row r="47" spans="3:13" ht="13.5" customHeight="1" x14ac:dyDescent="0.35"/>
    <row r="48" spans="3:13" ht="13.5" customHeight="1" x14ac:dyDescent="0.35"/>
    <row r="49" ht="13.5" customHeight="1" x14ac:dyDescent="0.35"/>
    <row r="50" ht="13.5" customHeight="1" x14ac:dyDescent="0.35"/>
    <row r="51" ht="13.5" customHeight="1" x14ac:dyDescent="0.35"/>
    <row r="52" ht="13.5" customHeight="1" x14ac:dyDescent="0.35"/>
    <row r="53" ht="13.5" customHeight="1" x14ac:dyDescent="0.35"/>
    <row r="54" ht="13.5" customHeight="1" x14ac:dyDescent="0.35"/>
    <row r="55" ht="13.5" customHeight="1" x14ac:dyDescent="0.35"/>
    <row r="56" ht="13.5" customHeight="1" x14ac:dyDescent="0.35"/>
    <row r="57" ht="13.5" customHeight="1" x14ac:dyDescent="0.35"/>
    <row r="58" ht="13.5" customHeight="1" x14ac:dyDescent="0.35"/>
    <row r="59" ht="13.5" customHeight="1" x14ac:dyDescent="0.35"/>
    <row r="60" ht="13.5" customHeight="1" x14ac:dyDescent="0.35"/>
    <row r="61" ht="13.5" customHeight="1" x14ac:dyDescent="0.35"/>
    <row r="62" ht="13.5" customHeight="1" x14ac:dyDescent="0.35"/>
    <row r="63" ht="13.5" customHeight="1" x14ac:dyDescent="0.35"/>
    <row r="64" ht="13.5" customHeight="1" x14ac:dyDescent="0.35"/>
    <row r="65" ht="13.5" customHeight="1" x14ac:dyDescent="0.35"/>
    <row r="66" ht="13.5" customHeight="1" x14ac:dyDescent="0.35"/>
    <row r="67" ht="13.5" customHeight="1" x14ac:dyDescent="0.35"/>
    <row r="68" ht="13.5" customHeight="1" x14ac:dyDescent="0.35"/>
    <row r="69" ht="13.5" customHeight="1" x14ac:dyDescent="0.35"/>
    <row r="70" ht="13.5" customHeight="1" x14ac:dyDescent="0.35"/>
    <row r="71" ht="13.5" customHeight="1" x14ac:dyDescent="0.35"/>
    <row r="72" ht="13.5" customHeight="1" x14ac:dyDescent="0.35"/>
    <row r="73" ht="13.5" customHeight="1" x14ac:dyDescent="0.35"/>
    <row r="74" ht="13.5" customHeight="1" x14ac:dyDescent="0.35"/>
    <row r="75" ht="13.5" customHeight="1" x14ac:dyDescent="0.35"/>
    <row r="76" ht="13.5" customHeight="1" x14ac:dyDescent="0.35"/>
    <row r="77" ht="13.5" customHeight="1" x14ac:dyDescent="0.35"/>
    <row r="78" ht="13.5" customHeight="1" x14ac:dyDescent="0.35"/>
    <row r="79" ht="13.5" customHeight="1" x14ac:dyDescent="0.35"/>
    <row r="80" ht="13.5" customHeight="1" x14ac:dyDescent="0.35"/>
    <row r="81" ht="13.5" customHeight="1" x14ac:dyDescent="0.35"/>
    <row r="82" ht="13.5" customHeight="1" x14ac:dyDescent="0.35"/>
    <row r="83" ht="13.5" customHeight="1" x14ac:dyDescent="0.35"/>
    <row r="84" ht="13.5" customHeight="1" x14ac:dyDescent="0.35"/>
    <row r="85" ht="13.5" customHeight="1" x14ac:dyDescent="0.35"/>
    <row r="86" ht="13.5" customHeight="1" x14ac:dyDescent="0.35"/>
    <row r="87" ht="13.5" customHeight="1" x14ac:dyDescent="0.35"/>
    <row r="88" ht="13.5" customHeight="1" x14ac:dyDescent="0.35"/>
    <row r="89" ht="13.5" customHeight="1" x14ac:dyDescent="0.35"/>
    <row r="90" ht="13.5" customHeight="1" x14ac:dyDescent="0.35"/>
    <row r="91" ht="13.5" customHeight="1" x14ac:dyDescent="0.35"/>
    <row r="92" ht="13.5" customHeight="1" x14ac:dyDescent="0.35"/>
    <row r="93" ht="13.5" customHeight="1" x14ac:dyDescent="0.35"/>
    <row r="94" ht="13.5" customHeight="1" x14ac:dyDescent="0.35"/>
    <row r="95" ht="13.5" customHeight="1" x14ac:dyDescent="0.35"/>
    <row r="96" ht="13.5" customHeight="1" x14ac:dyDescent="0.35"/>
    <row r="97" ht="13.5" customHeight="1" x14ac:dyDescent="0.35"/>
    <row r="98" ht="13.5" customHeight="1" x14ac:dyDescent="0.35"/>
    <row r="99" ht="13.5" customHeight="1" x14ac:dyDescent="0.35"/>
    <row r="100" ht="13.5" customHeight="1" x14ac:dyDescent="0.35"/>
    <row r="101" ht="13.5" customHeight="1" x14ac:dyDescent="0.35"/>
    <row r="102" ht="13.5" customHeight="1" x14ac:dyDescent="0.35"/>
    <row r="103" ht="13.5" customHeight="1" x14ac:dyDescent="0.35"/>
    <row r="104" ht="13.5" customHeight="1" x14ac:dyDescent="0.35"/>
    <row r="105" ht="13.5" customHeight="1" x14ac:dyDescent="0.35"/>
    <row r="106" ht="13.5" customHeight="1" x14ac:dyDescent="0.35"/>
    <row r="107" ht="13.5" customHeight="1" x14ac:dyDescent="0.35"/>
    <row r="108" ht="13.5" customHeight="1" x14ac:dyDescent="0.35"/>
    <row r="109" ht="13.5" customHeight="1" x14ac:dyDescent="0.35"/>
    <row r="110" ht="13.5" customHeight="1" x14ac:dyDescent="0.35"/>
    <row r="111" ht="13.5" customHeight="1" x14ac:dyDescent="0.35"/>
    <row r="112" ht="13.5" customHeight="1" x14ac:dyDescent="0.35"/>
    <row r="113" ht="13.5" customHeight="1" x14ac:dyDescent="0.35"/>
    <row r="114" ht="13.5" customHeight="1" x14ac:dyDescent="0.35"/>
    <row r="115" ht="13.5" customHeight="1" x14ac:dyDescent="0.35"/>
    <row r="116" ht="13.5" customHeight="1" x14ac:dyDescent="0.35"/>
    <row r="117" ht="13.5" customHeight="1" x14ac:dyDescent="0.35"/>
    <row r="118" ht="13.5" customHeight="1" x14ac:dyDescent="0.35"/>
    <row r="119" ht="13.5" customHeight="1" x14ac:dyDescent="0.35"/>
    <row r="120" ht="13.5" customHeight="1" x14ac:dyDescent="0.35"/>
    <row r="121" ht="13.5" customHeight="1" x14ac:dyDescent="0.35"/>
    <row r="122" ht="13.5" customHeight="1" x14ac:dyDescent="0.35"/>
    <row r="123" ht="13.5" customHeight="1" x14ac:dyDescent="0.35"/>
    <row r="124" ht="13.5" customHeight="1" x14ac:dyDescent="0.35"/>
    <row r="125" ht="13.5" customHeight="1" x14ac:dyDescent="0.35"/>
    <row r="126" ht="13.5" customHeight="1" x14ac:dyDescent="0.35"/>
    <row r="127" ht="13.5" customHeight="1" x14ac:dyDescent="0.35"/>
    <row r="128" ht="13.5" customHeight="1" x14ac:dyDescent="0.35"/>
    <row r="129" ht="13.5" customHeight="1" x14ac:dyDescent="0.35"/>
    <row r="130" ht="13.5" customHeight="1" x14ac:dyDescent="0.35"/>
    <row r="131" ht="13.5" customHeight="1" x14ac:dyDescent="0.35"/>
    <row r="132" ht="13.5" customHeight="1" x14ac:dyDescent="0.35"/>
    <row r="133" ht="13.5" customHeight="1" x14ac:dyDescent="0.35"/>
    <row r="134" ht="13.5" customHeight="1" x14ac:dyDescent="0.35"/>
    <row r="135" ht="13.5" customHeight="1" x14ac:dyDescent="0.35"/>
    <row r="136" ht="13.5" customHeight="1" x14ac:dyDescent="0.35"/>
    <row r="137" ht="13.5" customHeight="1" x14ac:dyDescent="0.35"/>
    <row r="138" ht="13.5" customHeight="1" x14ac:dyDescent="0.35"/>
    <row r="139" ht="13.5" customHeight="1" x14ac:dyDescent="0.35"/>
    <row r="140" ht="13.5" customHeight="1" x14ac:dyDescent="0.35"/>
    <row r="141" ht="13.5" customHeight="1" x14ac:dyDescent="0.35"/>
    <row r="142" ht="13.5" customHeight="1" x14ac:dyDescent="0.35"/>
    <row r="143" ht="13.5" customHeight="1" x14ac:dyDescent="0.35"/>
    <row r="144" ht="13.5" customHeight="1" x14ac:dyDescent="0.35"/>
    <row r="145" ht="13.5" customHeight="1" x14ac:dyDescent="0.35"/>
    <row r="146" ht="13.5" customHeight="1" x14ac:dyDescent="0.35"/>
    <row r="147" ht="13.5" customHeight="1" x14ac:dyDescent="0.35"/>
    <row r="148" ht="13.5" customHeight="1" x14ac:dyDescent="0.35"/>
    <row r="149" ht="13.5" customHeight="1" x14ac:dyDescent="0.35"/>
    <row r="150" ht="13.5" customHeight="1" x14ac:dyDescent="0.35"/>
    <row r="151" ht="13.5" customHeight="1" x14ac:dyDescent="0.35"/>
    <row r="152" ht="13.5" customHeight="1" x14ac:dyDescent="0.35"/>
    <row r="153" ht="13.5" customHeight="1" x14ac:dyDescent="0.35"/>
    <row r="154" ht="13.5" customHeight="1" x14ac:dyDescent="0.35"/>
    <row r="155" ht="13.5" customHeight="1" x14ac:dyDescent="0.35"/>
    <row r="156" ht="13.5" customHeight="1" x14ac:dyDescent="0.35"/>
    <row r="157" ht="13.5" customHeight="1" x14ac:dyDescent="0.35"/>
    <row r="158" ht="13.5" customHeight="1" x14ac:dyDescent="0.35"/>
    <row r="159" ht="13.5" customHeight="1" x14ac:dyDescent="0.35"/>
    <row r="160" ht="13.5" customHeight="1" x14ac:dyDescent="0.35"/>
    <row r="161" ht="13.5" customHeight="1" x14ac:dyDescent="0.35"/>
    <row r="162" ht="13.5" customHeight="1" x14ac:dyDescent="0.35"/>
    <row r="163" ht="13.5" customHeight="1" x14ac:dyDescent="0.35"/>
    <row r="164" ht="13.5" customHeight="1" x14ac:dyDescent="0.35"/>
    <row r="165" ht="13.5" customHeight="1" x14ac:dyDescent="0.35"/>
    <row r="166" ht="13.5" customHeight="1" x14ac:dyDescent="0.35"/>
    <row r="167" ht="13.5" customHeight="1" x14ac:dyDescent="0.35"/>
    <row r="168" ht="13.5" customHeight="1" x14ac:dyDescent="0.35"/>
    <row r="169" ht="13.5" customHeight="1" x14ac:dyDescent="0.35"/>
    <row r="170" ht="13.5" customHeight="1" x14ac:dyDescent="0.35"/>
    <row r="171" ht="13.5" customHeight="1" x14ac:dyDescent="0.35"/>
    <row r="172" ht="13.5" customHeight="1" x14ac:dyDescent="0.35"/>
    <row r="173" ht="13.5" customHeight="1" x14ac:dyDescent="0.35"/>
    <row r="174" ht="13.5" customHeight="1" x14ac:dyDescent="0.35"/>
    <row r="175" ht="13.5" customHeight="1" x14ac:dyDescent="0.35"/>
    <row r="176" ht="13.5" customHeight="1" x14ac:dyDescent="0.35"/>
    <row r="177" ht="13.5" customHeight="1" x14ac:dyDescent="0.35"/>
    <row r="178" ht="13.5" customHeight="1" x14ac:dyDescent="0.35"/>
    <row r="179" ht="13.5" customHeight="1" x14ac:dyDescent="0.35"/>
    <row r="180" ht="13.5" customHeight="1" x14ac:dyDescent="0.35"/>
    <row r="181" ht="13.5" customHeight="1" x14ac:dyDescent="0.35"/>
    <row r="182" ht="13.5" customHeight="1" x14ac:dyDescent="0.35"/>
    <row r="183" ht="13.5" customHeight="1" x14ac:dyDescent="0.35"/>
    <row r="184" ht="13.5" customHeight="1" x14ac:dyDescent="0.35"/>
    <row r="185" ht="13.5" customHeight="1" x14ac:dyDescent="0.35"/>
    <row r="186" ht="13.5" customHeight="1" x14ac:dyDescent="0.35"/>
    <row r="187" ht="13.5" customHeight="1" x14ac:dyDescent="0.35"/>
    <row r="188" ht="13.5" customHeight="1" x14ac:dyDescent="0.35"/>
    <row r="189" ht="13.5" customHeight="1" x14ac:dyDescent="0.35"/>
    <row r="190" ht="13.5" customHeight="1" x14ac:dyDescent="0.35"/>
    <row r="191" ht="13.5" customHeight="1" x14ac:dyDescent="0.35"/>
    <row r="192" ht="13.5" customHeight="1" x14ac:dyDescent="0.35"/>
    <row r="193" ht="13.5" customHeight="1" x14ac:dyDescent="0.35"/>
    <row r="194" ht="13.5" customHeight="1" x14ac:dyDescent="0.35"/>
    <row r="195" ht="13.5" customHeight="1" x14ac:dyDescent="0.35"/>
    <row r="196" ht="13.5" customHeight="1" x14ac:dyDescent="0.35"/>
    <row r="197" ht="13.5" customHeight="1" x14ac:dyDescent="0.35"/>
    <row r="198" ht="13.5" customHeight="1" x14ac:dyDescent="0.35"/>
    <row r="199" ht="13.5" customHeight="1" x14ac:dyDescent="0.35"/>
    <row r="200" ht="13.5" customHeight="1" x14ac:dyDescent="0.35"/>
    <row r="201" ht="13.5" customHeight="1" x14ac:dyDescent="0.35"/>
    <row r="202" ht="13.5" customHeight="1" x14ac:dyDescent="0.35"/>
    <row r="203" ht="13.5" customHeight="1" x14ac:dyDescent="0.35"/>
    <row r="204" ht="13.5" customHeight="1" x14ac:dyDescent="0.35"/>
    <row r="205" ht="13.5" customHeight="1" x14ac:dyDescent="0.35"/>
    <row r="206" ht="13.5" customHeight="1" x14ac:dyDescent="0.35"/>
    <row r="207" ht="13.5" customHeight="1" x14ac:dyDescent="0.35"/>
    <row r="208" ht="13.5" customHeight="1" x14ac:dyDescent="0.35"/>
    <row r="209" ht="13.5" customHeight="1" x14ac:dyDescent="0.35"/>
    <row r="210" ht="13.5" customHeight="1" x14ac:dyDescent="0.35"/>
    <row r="211" ht="13.5" customHeight="1" x14ac:dyDescent="0.35"/>
    <row r="212" ht="13.5" customHeight="1" x14ac:dyDescent="0.35"/>
    <row r="213" ht="13.5" customHeight="1" x14ac:dyDescent="0.35"/>
    <row r="214" ht="13.5" customHeight="1" x14ac:dyDescent="0.35"/>
    <row r="215" ht="13.5" customHeight="1" x14ac:dyDescent="0.35"/>
    <row r="216" ht="13.5" customHeight="1" x14ac:dyDescent="0.35"/>
    <row r="217" ht="13.5" customHeight="1" x14ac:dyDescent="0.35"/>
    <row r="218" ht="13.5" customHeight="1" x14ac:dyDescent="0.35"/>
    <row r="219" ht="13.5" customHeight="1" x14ac:dyDescent="0.35"/>
    <row r="220" ht="13.5" customHeight="1" x14ac:dyDescent="0.35"/>
    <row r="221" ht="13.5" customHeight="1" x14ac:dyDescent="0.35"/>
    <row r="222" ht="13.5" customHeight="1" x14ac:dyDescent="0.35"/>
    <row r="223" ht="13.5" customHeight="1" x14ac:dyDescent="0.35"/>
    <row r="224" ht="13.5" customHeight="1" x14ac:dyDescent="0.35"/>
    <row r="225" ht="13.5" customHeight="1" x14ac:dyDescent="0.35"/>
    <row r="226" ht="13.5" customHeight="1" x14ac:dyDescent="0.35"/>
    <row r="227" ht="13.5" customHeight="1" x14ac:dyDescent="0.35"/>
    <row r="228" ht="13.5" customHeight="1" x14ac:dyDescent="0.35"/>
    <row r="229" ht="13.5" customHeight="1" x14ac:dyDescent="0.35"/>
    <row r="230" ht="13.5" customHeight="1" x14ac:dyDescent="0.35"/>
    <row r="231" ht="13.5" customHeight="1" x14ac:dyDescent="0.35"/>
    <row r="232" ht="13.5" customHeight="1" x14ac:dyDescent="0.35"/>
    <row r="233" ht="13.5" customHeight="1" x14ac:dyDescent="0.35"/>
    <row r="234" ht="13.5" customHeight="1" x14ac:dyDescent="0.35"/>
    <row r="235" ht="13.5" customHeight="1" x14ac:dyDescent="0.35"/>
    <row r="236" ht="13.5" customHeight="1" x14ac:dyDescent="0.35"/>
    <row r="237" ht="13.5" customHeight="1" x14ac:dyDescent="0.35"/>
    <row r="238" ht="13.5" customHeight="1" x14ac:dyDescent="0.35"/>
    <row r="239" ht="13.5" customHeight="1" x14ac:dyDescent="0.35"/>
    <row r="240" ht="13.5" customHeight="1" x14ac:dyDescent="0.35"/>
    <row r="241" ht="13.5" customHeight="1" x14ac:dyDescent="0.35"/>
    <row r="242" ht="13.5" customHeight="1" x14ac:dyDescent="0.35"/>
    <row r="243" ht="13.5" customHeight="1" x14ac:dyDescent="0.35"/>
    <row r="244" ht="13.5" customHeight="1" x14ac:dyDescent="0.35"/>
    <row r="245" ht="13.5" customHeight="1" x14ac:dyDescent="0.35"/>
    <row r="246" ht="13.5" customHeight="1" x14ac:dyDescent="0.35"/>
    <row r="247" ht="13.5" customHeight="1" x14ac:dyDescent="0.35"/>
    <row r="248" ht="13.5" customHeight="1" x14ac:dyDescent="0.35"/>
    <row r="249" ht="13.5" customHeight="1" x14ac:dyDescent="0.35"/>
    <row r="250" ht="13.5" customHeight="1" x14ac:dyDescent="0.35"/>
    <row r="251" ht="13.5" customHeight="1" x14ac:dyDescent="0.35"/>
    <row r="252" ht="13.5" customHeight="1" x14ac:dyDescent="0.35"/>
    <row r="253" ht="13.5" customHeight="1" x14ac:dyDescent="0.35"/>
    <row r="254" ht="13.5" customHeight="1" x14ac:dyDescent="0.35"/>
    <row r="255" ht="13.5" customHeight="1" x14ac:dyDescent="0.35"/>
    <row r="256" ht="13.5" customHeight="1" x14ac:dyDescent="0.35"/>
    <row r="257" ht="13.5" customHeight="1" x14ac:dyDescent="0.35"/>
    <row r="258" ht="13.5" customHeight="1" x14ac:dyDescent="0.35"/>
    <row r="259" ht="13.5" customHeight="1" x14ac:dyDescent="0.35"/>
    <row r="260" ht="13.5" customHeight="1" x14ac:dyDescent="0.35"/>
    <row r="261" ht="13.5" customHeight="1" x14ac:dyDescent="0.35"/>
    <row r="262" ht="13.5" customHeight="1" x14ac:dyDescent="0.35"/>
    <row r="263" ht="13.5" customHeight="1" x14ac:dyDescent="0.35"/>
    <row r="264" ht="13.5" customHeight="1" x14ac:dyDescent="0.35"/>
    <row r="265" ht="13.5" customHeight="1" x14ac:dyDescent="0.35"/>
    <row r="266" ht="13.5" customHeight="1" x14ac:dyDescent="0.35"/>
    <row r="267" ht="13.5" customHeight="1" x14ac:dyDescent="0.35"/>
    <row r="268" ht="13.5" customHeight="1" x14ac:dyDescent="0.35"/>
    <row r="269" ht="13.5" customHeight="1" x14ac:dyDescent="0.35"/>
    <row r="270" ht="13.5" customHeight="1" x14ac:dyDescent="0.35"/>
    <row r="271" ht="13.5" customHeight="1" x14ac:dyDescent="0.35"/>
    <row r="272" ht="13.5" customHeight="1" x14ac:dyDescent="0.35"/>
    <row r="273" ht="13.5" customHeight="1" x14ac:dyDescent="0.35"/>
    <row r="274" ht="13.5" customHeight="1" x14ac:dyDescent="0.35"/>
    <row r="275" ht="13.5" customHeight="1" x14ac:dyDescent="0.35"/>
    <row r="276" ht="13.5" customHeight="1" x14ac:dyDescent="0.35"/>
    <row r="277" ht="13.5" customHeight="1" x14ac:dyDescent="0.35"/>
    <row r="278" ht="13.5" customHeight="1" x14ac:dyDescent="0.35"/>
    <row r="279" ht="13.5" customHeight="1" x14ac:dyDescent="0.35"/>
    <row r="280" ht="13.5" customHeight="1" x14ac:dyDescent="0.35"/>
    <row r="281" ht="13.5" customHeight="1" x14ac:dyDescent="0.35"/>
    <row r="282" ht="13.5" customHeight="1" x14ac:dyDescent="0.35"/>
    <row r="283" ht="13.5" customHeight="1" x14ac:dyDescent="0.35"/>
    <row r="284" ht="13.5" customHeight="1" x14ac:dyDescent="0.35"/>
    <row r="285" ht="13.5" customHeight="1" x14ac:dyDescent="0.35"/>
    <row r="286" ht="13.5" customHeight="1" x14ac:dyDescent="0.35"/>
    <row r="287" ht="13.5" customHeight="1" x14ac:dyDescent="0.35"/>
    <row r="288" ht="13.5" customHeight="1" x14ac:dyDescent="0.35"/>
    <row r="289" ht="13.5" customHeight="1" x14ac:dyDescent="0.35"/>
    <row r="290" ht="13.5" customHeight="1" x14ac:dyDescent="0.35"/>
    <row r="291" ht="13.5" customHeight="1" x14ac:dyDescent="0.35"/>
    <row r="292" ht="13.5" customHeight="1" x14ac:dyDescent="0.35"/>
    <row r="293" ht="13.5" customHeight="1" x14ac:dyDescent="0.35"/>
    <row r="294" ht="13.5" customHeight="1" x14ac:dyDescent="0.35"/>
    <row r="295" ht="13.5" customHeight="1" x14ac:dyDescent="0.35"/>
    <row r="296" ht="13.5" customHeight="1" x14ac:dyDescent="0.35"/>
    <row r="297" ht="13.5" customHeight="1" x14ac:dyDescent="0.35"/>
    <row r="298" ht="13.5" customHeight="1" x14ac:dyDescent="0.35"/>
    <row r="299" ht="13.5" customHeight="1" x14ac:dyDescent="0.35"/>
    <row r="300" ht="13.5" customHeight="1" x14ac:dyDescent="0.35"/>
    <row r="301" ht="13.5" customHeight="1" x14ac:dyDescent="0.35"/>
    <row r="302" ht="13.5" customHeight="1" x14ac:dyDescent="0.35"/>
    <row r="303" ht="13.5" customHeight="1" x14ac:dyDescent="0.35"/>
    <row r="304" ht="13.5" customHeight="1" x14ac:dyDescent="0.35"/>
    <row r="305" ht="13.5" customHeight="1" x14ac:dyDescent="0.35"/>
    <row r="306" ht="13.5" customHeight="1" x14ac:dyDescent="0.35"/>
    <row r="307" ht="13.5" customHeight="1" x14ac:dyDescent="0.35"/>
    <row r="308" ht="13.5" customHeight="1" x14ac:dyDescent="0.35"/>
    <row r="309" ht="13.5" customHeight="1" x14ac:dyDescent="0.35"/>
    <row r="310" ht="13.5" customHeight="1" x14ac:dyDescent="0.35"/>
    <row r="311" ht="13.5" customHeight="1" x14ac:dyDescent="0.35"/>
    <row r="312" ht="13.5" customHeight="1" x14ac:dyDescent="0.35"/>
    <row r="313" ht="13.5" customHeight="1" x14ac:dyDescent="0.35"/>
    <row r="314" ht="13.5" customHeight="1" x14ac:dyDescent="0.35"/>
    <row r="315" ht="13.5" customHeight="1" x14ac:dyDescent="0.35"/>
    <row r="316" ht="13.5" customHeight="1" x14ac:dyDescent="0.35"/>
    <row r="317" ht="13.5" customHeight="1" x14ac:dyDescent="0.35"/>
    <row r="318" ht="13.5" customHeight="1" x14ac:dyDescent="0.35"/>
    <row r="319" ht="13.5" customHeight="1" x14ac:dyDescent="0.35"/>
    <row r="320" ht="13.5" customHeight="1" x14ac:dyDescent="0.35"/>
    <row r="321" ht="13.5" customHeight="1" x14ac:dyDescent="0.35"/>
    <row r="322" ht="13.5" customHeight="1" x14ac:dyDescent="0.35"/>
    <row r="323" ht="13.5" customHeight="1" x14ac:dyDescent="0.35"/>
    <row r="324" ht="13.5" customHeight="1" x14ac:dyDescent="0.35"/>
    <row r="325" ht="13.5" customHeight="1" x14ac:dyDescent="0.35"/>
    <row r="326" ht="13.5" customHeight="1" x14ac:dyDescent="0.35"/>
    <row r="327" ht="13.5" customHeight="1" x14ac:dyDescent="0.35"/>
    <row r="328" ht="13.5" customHeight="1" x14ac:dyDescent="0.35"/>
    <row r="329" ht="13.5" customHeight="1" x14ac:dyDescent="0.35"/>
    <row r="330" ht="13.5" customHeight="1" x14ac:dyDescent="0.35"/>
    <row r="331" ht="13.5" customHeight="1" x14ac:dyDescent="0.35"/>
    <row r="332" ht="13.5" customHeight="1" x14ac:dyDescent="0.35"/>
    <row r="333" ht="13.5" customHeight="1" x14ac:dyDescent="0.35"/>
    <row r="334" ht="13.5" customHeight="1" x14ac:dyDescent="0.35"/>
    <row r="335" ht="13.5" customHeight="1" x14ac:dyDescent="0.35"/>
    <row r="336" ht="13.5" customHeight="1" x14ac:dyDescent="0.35"/>
    <row r="337" ht="13.5" customHeight="1" x14ac:dyDescent="0.35"/>
    <row r="338" ht="13.5" customHeight="1" x14ac:dyDescent="0.35"/>
    <row r="339" ht="13.5" customHeight="1" x14ac:dyDescent="0.35"/>
    <row r="340" ht="13.5" customHeight="1" x14ac:dyDescent="0.35"/>
    <row r="341" ht="13.5" customHeight="1" x14ac:dyDescent="0.35"/>
    <row r="342" ht="13.5" customHeight="1" x14ac:dyDescent="0.35"/>
    <row r="343" ht="13.5" customHeight="1" x14ac:dyDescent="0.35"/>
    <row r="344" ht="13.5" customHeight="1" x14ac:dyDescent="0.35"/>
    <row r="345" ht="13.5" customHeight="1" x14ac:dyDescent="0.35"/>
    <row r="346" ht="13.5" customHeight="1" x14ac:dyDescent="0.35"/>
    <row r="347" ht="13.5" customHeight="1" x14ac:dyDescent="0.35"/>
    <row r="348" ht="13.5" customHeight="1" x14ac:dyDescent="0.35"/>
    <row r="349" ht="13.5" customHeight="1" x14ac:dyDescent="0.35"/>
    <row r="350" ht="13.5" customHeight="1" x14ac:dyDescent="0.35"/>
    <row r="351" ht="13.5" customHeight="1" x14ac:dyDescent="0.35"/>
    <row r="352" ht="13.5" customHeight="1" x14ac:dyDescent="0.35"/>
    <row r="353" ht="13.5" customHeight="1" x14ac:dyDescent="0.35"/>
    <row r="354" ht="13.5" customHeight="1" x14ac:dyDescent="0.35"/>
    <row r="355" ht="13.5" customHeight="1" x14ac:dyDescent="0.35"/>
    <row r="356" ht="13.5" customHeight="1" x14ac:dyDescent="0.35"/>
    <row r="357" ht="13.5" customHeight="1" x14ac:dyDescent="0.35"/>
    <row r="358" ht="13.5" customHeight="1" x14ac:dyDescent="0.35"/>
    <row r="359" ht="13.5" customHeight="1" x14ac:dyDescent="0.35"/>
    <row r="360" ht="13.5" customHeight="1" x14ac:dyDescent="0.35"/>
    <row r="361" ht="13.5" customHeight="1" x14ac:dyDescent="0.35"/>
    <row r="362" ht="13.5" customHeight="1" x14ac:dyDescent="0.35"/>
    <row r="363" ht="13.5" customHeight="1" x14ac:dyDescent="0.35"/>
    <row r="364" ht="13.5" customHeight="1" x14ac:dyDescent="0.35"/>
    <row r="365" ht="13.5" customHeight="1" x14ac:dyDescent="0.35"/>
    <row r="366" ht="13.5" customHeight="1" x14ac:dyDescent="0.35"/>
    <row r="367" ht="13.5" customHeight="1" x14ac:dyDescent="0.35"/>
    <row r="368" ht="13.5" customHeight="1" x14ac:dyDescent="0.35"/>
    <row r="369" ht="13.5" customHeight="1" x14ac:dyDescent="0.35"/>
    <row r="370" ht="13.5" customHeight="1" x14ac:dyDescent="0.35"/>
    <row r="371" ht="13.5" customHeight="1" x14ac:dyDescent="0.35"/>
    <row r="372" ht="13.5" customHeight="1" x14ac:dyDescent="0.35"/>
    <row r="373" ht="13.5" customHeight="1" x14ac:dyDescent="0.35"/>
    <row r="374" ht="13.5" customHeight="1" x14ac:dyDescent="0.35"/>
    <row r="375" ht="13.5" customHeight="1" x14ac:dyDescent="0.35"/>
    <row r="376" ht="13.5" customHeight="1" x14ac:dyDescent="0.35"/>
    <row r="377" ht="13.5" customHeight="1" x14ac:dyDescent="0.35"/>
    <row r="378" ht="13.5" customHeight="1" x14ac:dyDescent="0.35"/>
    <row r="379" ht="13.5" customHeight="1" x14ac:dyDescent="0.35"/>
    <row r="380" ht="13.5" customHeight="1" x14ac:dyDescent="0.35"/>
    <row r="381" ht="13.5" customHeight="1" x14ac:dyDescent="0.35"/>
    <row r="382" ht="13.5" customHeight="1" x14ac:dyDescent="0.35"/>
    <row r="383" ht="13.5" customHeight="1" x14ac:dyDescent="0.35"/>
    <row r="384" ht="13.5" customHeight="1" x14ac:dyDescent="0.35"/>
    <row r="385" ht="13.5" customHeight="1" x14ac:dyDescent="0.35"/>
    <row r="386" ht="13.5" customHeight="1" x14ac:dyDescent="0.35"/>
    <row r="387" ht="13.5" customHeight="1" x14ac:dyDescent="0.35"/>
    <row r="388" ht="13.5" customHeight="1" x14ac:dyDescent="0.35"/>
    <row r="389" ht="13.5" customHeight="1" x14ac:dyDescent="0.35"/>
    <row r="390" ht="13.5" customHeight="1" x14ac:dyDescent="0.35"/>
    <row r="391" ht="13.5" customHeight="1" x14ac:dyDescent="0.35"/>
    <row r="392" ht="13.5" customHeight="1" x14ac:dyDescent="0.35"/>
    <row r="393" ht="13.5" customHeight="1" x14ac:dyDescent="0.35"/>
    <row r="394" ht="13.5" customHeight="1" x14ac:dyDescent="0.35"/>
    <row r="395" ht="13.5" customHeight="1" x14ac:dyDescent="0.35"/>
    <row r="396" ht="13.5" customHeight="1" x14ac:dyDescent="0.35"/>
    <row r="397" ht="13.5" customHeight="1" x14ac:dyDescent="0.35"/>
    <row r="398" ht="13.5" customHeight="1" x14ac:dyDescent="0.35"/>
    <row r="399" ht="13.5" customHeight="1" x14ac:dyDescent="0.35"/>
    <row r="400" ht="13.5" customHeight="1" x14ac:dyDescent="0.35"/>
    <row r="401" ht="13.5" customHeight="1" x14ac:dyDescent="0.35"/>
    <row r="402" ht="13.5" customHeight="1" x14ac:dyDescent="0.35"/>
    <row r="403" ht="13.5" customHeight="1" x14ac:dyDescent="0.35"/>
    <row r="404" ht="13.5" customHeight="1" x14ac:dyDescent="0.35"/>
    <row r="405" ht="13.5" customHeight="1" x14ac:dyDescent="0.35"/>
    <row r="406" ht="13.5" customHeight="1" x14ac:dyDescent="0.35"/>
    <row r="407" ht="13.5" customHeight="1" x14ac:dyDescent="0.35"/>
    <row r="408" ht="13.5" customHeight="1" x14ac:dyDescent="0.35"/>
    <row r="409" ht="13.5" customHeight="1" x14ac:dyDescent="0.35"/>
    <row r="410" ht="13.5" customHeight="1" x14ac:dyDescent="0.35"/>
    <row r="411" ht="13.5" customHeight="1" x14ac:dyDescent="0.35"/>
    <row r="412" ht="13.5" customHeight="1" x14ac:dyDescent="0.35"/>
    <row r="413" ht="13.5" customHeight="1" x14ac:dyDescent="0.35"/>
    <row r="414" ht="13.5" customHeight="1" x14ac:dyDescent="0.35"/>
    <row r="415" ht="13.5" customHeight="1" x14ac:dyDescent="0.35"/>
    <row r="416" ht="13.5" customHeight="1" x14ac:dyDescent="0.35"/>
    <row r="417" ht="13.5" customHeight="1" x14ac:dyDescent="0.35"/>
    <row r="418" ht="13.5" customHeight="1" x14ac:dyDescent="0.35"/>
    <row r="419" ht="13.5" customHeight="1" x14ac:dyDescent="0.35"/>
    <row r="420" ht="13.5" customHeight="1" x14ac:dyDescent="0.35"/>
    <row r="421" ht="13.5" customHeight="1" x14ac:dyDescent="0.35"/>
    <row r="422" ht="13.5" customHeight="1" x14ac:dyDescent="0.35"/>
    <row r="423" ht="13.5" customHeight="1" x14ac:dyDescent="0.35"/>
    <row r="424" ht="13.5" customHeight="1" x14ac:dyDescent="0.35"/>
    <row r="425" ht="13.5" customHeight="1" x14ac:dyDescent="0.35"/>
    <row r="426" ht="13.5" customHeight="1" x14ac:dyDescent="0.35"/>
    <row r="427" ht="13.5" customHeight="1" x14ac:dyDescent="0.35"/>
    <row r="428" ht="13.5" customHeight="1" x14ac:dyDescent="0.35"/>
    <row r="429" ht="13.5" customHeight="1" x14ac:dyDescent="0.35"/>
    <row r="430" ht="13.5" customHeight="1" x14ac:dyDescent="0.35"/>
    <row r="431" ht="13.5" customHeight="1" x14ac:dyDescent="0.35"/>
    <row r="432" ht="13.5" customHeight="1" x14ac:dyDescent="0.35"/>
    <row r="433" ht="13.5" customHeight="1" x14ac:dyDescent="0.35"/>
    <row r="434" ht="13.5" customHeight="1" x14ac:dyDescent="0.35"/>
    <row r="435" ht="13.5" customHeight="1" x14ac:dyDescent="0.35"/>
    <row r="436" ht="13.5" customHeight="1" x14ac:dyDescent="0.35"/>
    <row r="437" ht="13.5" customHeight="1" x14ac:dyDescent="0.35"/>
    <row r="438" ht="13.5" customHeight="1" x14ac:dyDescent="0.35"/>
    <row r="439" ht="13.5" customHeight="1" x14ac:dyDescent="0.35"/>
    <row r="440" ht="13.5" customHeight="1" x14ac:dyDescent="0.35"/>
    <row r="441" ht="13.5" customHeight="1" x14ac:dyDescent="0.35"/>
    <row r="442" ht="13.5" customHeight="1" x14ac:dyDescent="0.35"/>
    <row r="443" ht="13.5" customHeight="1" x14ac:dyDescent="0.35"/>
    <row r="444" ht="13.5" customHeight="1" x14ac:dyDescent="0.35"/>
    <row r="445" ht="13.5" customHeight="1" x14ac:dyDescent="0.35"/>
    <row r="446" ht="13.5" customHeight="1" x14ac:dyDescent="0.35"/>
    <row r="447" ht="13.5" customHeight="1" x14ac:dyDescent="0.35"/>
    <row r="448" ht="13.5" customHeight="1" x14ac:dyDescent="0.35"/>
    <row r="449" ht="13.5" customHeight="1" x14ac:dyDescent="0.35"/>
    <row r="450" ht="13.5" customHeight="1" x14ac:dyDescent="0.35"/>
    <row r="451" ht="13.5" customHeight="1" x14ac:dyDescent="0.35"/>
    <row r="452" ht="13.5" customHeight="1" x14ac:dyDescent="0.35"/>
    <row r="453" ht="13.5" customHeight="1" x14ac:dyDescent="0.35"/>
    <row r="454" ht="13.5" customHeight="1" x14ac:dyDescent="0.35"/>
    <row r="455" ht="13.5" customHeight="1" x14ac:dyDescent="0.35"/>
    <row r="456" ht="13.5" customHeight="1" x14ac:dyDescent="0.35"/>
    <row r="457" ht="13.5" customHeight="1" x14ac:dyDescent="0.35"/>
    <row r="458" ht="13.5" customHeight="1" x14ac:dyDescent="0.35"/>
    <row r="459" ht="13.5" customHeight="1" x14ac:dyDescent="0.35"/>
    <row r="460" ht="13.5" customHeight="1" x14ac:dyDescent="0.35"/>
    <row r="461" ht="13.5" customHeight="1" x14ac:dyDescent="0.35"/>
    <row r="462" ht="13.5" customHeight="1" x14ac:dyDescent="0.35"/>
    <row r="463" ht="13.5" customHeight="1" x14ac:dyDescent="0.35"/>
    <row r="464" ht="13.5" customHeight="1" x14ac:dyDescent="0.35"/>
    <row r="465" ht="13.5" customHeight="1" x14ac:dyDescent="0.35"/>
    <row r="466" ht="13.5" customHeight="1" x14ac:dyDescent="0.35"/>
    <row r="467" ht="13.5" customHeight="1" x14ac:dyDescent="0.35"/>
    <row r="468" ht="13.5" customHeight="1" x14ac:dyDescent="0.35"/>
    <row r="469" ht="13.5" customHeight="1" x14ac:dyDescent="0.35"/>
    <row r="470" ht="13.5" customHeight="1" x14ac:dyDescent="0.35"/>
    <row r="471" ht="13.5" customHeight="1" x14ac:dyDescent="0.35"/>
    <row r="472" ht="13.5" customHeight="1" x14ac:dyDescent="0.35"/>
    <row r="473" ht="13.5" customHeight="1" x14ac:dyDescent="0.35"/>
    <row r="474" ht="13.5" customHeight="1" x14ac:dyDescent="0.35"/>
    <row r="475" ht="13.5" customHeight="1" x14ac:dyDescent="0.35"/>
    <row r="476" ht="13.5" customHeight="1" x14ac:dyDescent="0.35"/>
    <row r="477" ht="13.5" customHeight="1" x14ac:dyDescent="0.35"/>
    <row r="478" ht="13.5" customHeight="1" x14ac:dyDescent="0.35"/>
    <row r="479" ht="13.5" customHeight="1" x14ac:dyDescent="0.35"/>
    <row r="480" ht="13.5" customHeight="1" x14ac:dyDescent="0.35"/>
    <row r="481" ht="13.5" customHeight="1" x14ac:dyDescent="0.35"/>
    <row r="482" ht="13.5" customHeight="1" x14ac:dyDescent="0.35"/>
    <row r="483" ht="13.5" customHeight="1" x14ac:dyDescent="0.35"/>
    <row r="484" ht="13.5" customHeight="1" x14ac:dyDescent="0.35"/>
    <row r="485" ht="13.5" customHeight="1" x14ac:dyDescent="0.35"/>
    <row r="486" ht="13.5" customHeight="1" x14ac:dyDescent="0.35"/>
    <row r="487" ht="13.5" customHeight="1" x14ac:dyDescent="0.35"/>
    <row r="488" ht="13.5" customHeight="1" x14ac:dyDescent="0.35"/>
    <row r="489" ht="13.5" customHeight="1" x14ac:dyDescent="0.35"/>
    <row r="490" ht="13.5" customHeight="1" x14ac:dyDescent="0.35"/>
    <row r="491" ht="13.5" customHeight="1" x14ac:dyDescent="0.35"/>
    <row r="492" ht="13.5" customHeight="1" x14ac:dyDescent="0.35"/>
    <row r="493" ht="13.5" customHeight="1" x14ac:dyDescent="0.35"/>
    <row r="494" ht="13.5" customHeight="1" x14ac:dyDescent="0.35"/>
    <row r="495" ht="13.5" customHeight="1" x14ac:dyDescent="0.35"/>
    <row r="496" ht="13.5" customHeight="1" x14ac:dyDescent="0.35"/>
    <row r="497" ht="13.5" customHeight="1" x14ac:dyDescent="0.35"/>
    <row r="498" ht="13.5" customHeight="1" x14ac:dyDescent="0.35"/>
    <row r="499" ht="13.5" customHeight="1" x14ac:dyDescent="0.35"/>
    <row r="500" ht="13.5" customHeight="1" x14ac:dyDescent="0.35"/>
    <row r="501" ht="13.5" customHeight="1" x14ac:dyDescent="0.35"/>
    <row r="502" ht="13.5" customHeight="1" x14ac:dyDescent="0.35"/>
    <row r="503" ht="13.5" customHeight="1" x14ac:dyDescent="0.35"/>
    <row r="504" ht="13.5" customHeight="1" x14ac:dyDescent="0.35"/>
    <row r="505" ht="13.5" customHeight="1" x14ac:dyDescent="0.35"/>
    <row r="506" ht="13.5" customHeight="1" x14ac:dyDescent="0.35"/>
    <row r="507" ht="13.5" customHeight="1" x14ac:dyDescent="0.35"/>
    <row r="508" ht="13.5" customHeight="1" x14ac:dyDescent="0.35"/>
    <row r="509" ht="13.5" customHeight="1" x14ac:dyDescent="0.35"/>
    <row r="510" ht="13.5" customHeight="1" x14ac:dyDescent="0.35"/>
    <row r="511" ht="13.5" customHeight="1" x14ac:dyDescent="0.35"/>
    <row r="512" ht="13.5" customHeight="1" x14ac:dyDescent="0.35"/>
    <row r="513" ht="13.5" customHeight="1" x14ac:dyDescent="0.35"/>
    <row r="514" ht="13.5" customHeight="1" x14ac:dyDescent="0.35"/>
    <row r="515" ht="13.5" customHeight="1" x14ac:dyDescent="0.35"/>
    <row r="516" ht="13.5" customHeight="1" x14ac:dyDescent="0.35"/>
    <row r="517" ht="13.5" customHeight="1" x14ac:dyDescent="0.35"/>
    <row r="518" ht="13.5" customHeight="1" x14ac:dyDescent="0.35"/>
    <row r="519" ht="13.5" customHeight="1" x14ac:dyDescent="0.35"/>
    <row r="520" ht="13.5" customHeight="1" x14ac:dyDescent="0.35"/>
    <row r="521" ht="13.5" customHeight="1" x14ac:dyDescent="0.35"/>
    <row r="522" ht="13.5" customHeight="1" x14ac:dyDescent="0.35"/>
    <row r="523" ht="13.5" customHeight="1" x14ac:dyDescent="0.35"/>
    <row r="524" ht="13.5" customHeight="1" x14ac:dyDescent="0.35"/>
    <row r="525" ht="13.5" customHeight="1" x14ac:dyDescent="0.35"/>
    <row r="526" ht="13.5" customHeight="1" x14ac:dyDescent="0.35"/>
    <row r="527" ht="13.5" customHeight="1" x14ac:dyDescent="0.35"/>
    <row r="528" ht="13.5" customHeight="1" x14ac:dyDescent="0.35"/>
    <row r="529" ht="13.5" customHeight="1" x14ac:dyDescent="0.35"/>
    <row r="530" ht="13.5" customHeight="1" x14ac:dyDescent="0.35"/>
    <row r="531" ht="13.5" customHeight="1" x14ac:dyDescent="0.35"/>
    <row r="532" ht="13.5" customHeight="1" x14ac:dyDescent="0.35"/>
    <row r="533" ht="13.5" customHeight="1" x14ac:dyDescent="0.35"/>
    <row r="534" ht="13.5" customHeight="1" x14ac:dyDescent="0.35"/>
    <row r="535" ht="13.5" customHeight="1" x14ac:dyDescent="0.35"/>
    <row r="536" ht="13.5" customHeight="1" x14ac:dyDescent="0.35"/>
    <row r="537" ht="13.5" customHeight="1" x14ac:dyDescent="0.35"/>
    <row r="538" ht="13.5" customHeight="1" x14ac:dyDescent="0.35"/>
    <row r="539" ht="13.5" customHeight="1" x14ac:dyDescent="0.35"/>
    <row r="540" ht="13.5" customHeight="1" x14ac:dyDescent="0.35"/>
    <row r="541" ht="13.5" customHeight="1" x14ac:dyDescent="0.35"/>
    <row r="542" ht="13.5" customHeight="1" x14ac:dyDescent="0.35"/>
    <row r="543" ht="13.5" customHeight="1" x14ac:dyDescent="0.35"/>
    <row r="544" ht="13.5" customHeight="1" x14ac:dyDescent="0.35"/>
    <row r="545" ht="13.5" customHeight="1" x14ac:dyDescent="0.35"/>
    <row r="546" ht="13.5" customHeight="1" x14ac:dyDescent="0.35"/>
    <row r="547" ht="13.5" customHeight="1" x14ac:dyDescent="0.35"/>
    <row r="548" ht="13.5" customHeight="1" x14ac:dyDescent="0.35"/>
    <row r="549" ht="13.5" customHeight="1" x14ac:dyDescent="0.35"/>
    <row r="550" ht="13.5" customHeight="1" x14ac:dyDescent="0.35"/>
    <row r="551" ht="13.5" customHeight="1" x14ac:dyDescent="0.35"/>
    <row r="552" ht="13.5" customHeight="1" x14ac:dyDescent="0.35"/>
    <row r="553" ht="13.5" customHeight="1" x14ac:dyDescent="0.35"/>
    <row r="554" ht="13.5" customHeight="1" x14ac:dyDescent="0.35"/>
    <row r="555" ht="13.5" customHeight="1" x14ac:dyDescent="0.35"/>
    <row r="556" ht="13.5" customHeight="1" x14ac:dyDescent="0.35"/>
    <row r="557" ht="13.5" customHeight="1" x14ac:dyDescent="0.35"/>
    <row r="558" ht="13.5" customHeight="1" x14ac:dyDescent="0.35"/>
    <row r="559" ht="13.5" customHeight="1" x14ac:dyDescent="0.35"/>
    <row r="560" ht="13.5" customHeight="1" x14ac:dyDescent="0.35"/>
    <row r="561" ht="13.5" customHeight="1" x14ac:dyDescent="0.35"/>
    <row r="562" ht="13.5" customHeight="1" x14ac:dyDescent="0.35"/>
    <row r="563" ht="13.5" customHeight="1" x14ac:dyDescent="0.35"/>
    <row r="564" ht="13.5" customHeight="1" x14ac:dyDescent="0.35"/>
    <row r="565" ht="13.5" customHeight="1" x14ac:dyDescent="0.35"/>
    <row r="566" ht="13.5" customHeight="1" x14ac:dyDescent="0.35"/>
    <row r="567" ht="13.5" customHeight="1" x14ac:dyDescent="0.35"/>
    <row r="568" ht="13.5" customHeight="1" x14ac:dyDescent="0.35"/>
    <row r="569" ht="13.5" customHeight="1" x14ac:dyDescent="0.35"/>
    <row r="570" ht="13.5" customHeight="1" x14ac:dyDescent="0.35"/>
    <row r="571" ht="13.5" customHeight="1" x14ac:dyDescent="0.35"/>
    <row r="572" ht="13.5" customHeight="1" x14ac:dyDescent="0.35"/>
    <row r="573" ht="13.5" customHeight="1" x14ac:dyDescent="0.35"/>
    <row r="574" ht="13.5" customHeight="1" x14ac:dyDescent="0.35"/>
    <row r="575" ht="13.5" customHeight="1" x14ac:dyDescent="0.35"/>
    <row r="576" ht="13.5" customHeight="1" x14ac:dyDescent="0.35"/>
    <row r="577" ht="13.5" customHeight="1" x14ac:dyDescent="0.35"/>
    <row r="578" ht="13.5" customHeight="1" x14ac:dyDescent="0.35"/>
    <row r="579" ht="13.5" customHeight="1" x14ac:dyDescent="0.35"/>
    <row r="580" ht="13.5" customHeight="1" x14ac:dyDescent="0.35"/>
    <row r="581" ht="13.5" customHeight="1" x14ac:dyDescent="0.35"/>
    <row r="582" ht="13.5" customHeight="1" x14ac:dyDescent="0.35"/>
    <row r="583" ht="13.5" customHeight="1" x14ac:dyDescent="0.35"/>
    <row r="584" ht="13.5" customHeight="1" x14ac:dyDescent="0.35"/>
    <row r="585" ht="13.5" customHeight="1" x14ac:dyDescent="0.35"/>
    <row r="586" ht="13.5" customHeight="1" x14ac:dyDescent="0.35"/>
    <row r="587" ht="13.5" customHeight="1" x14ac:dyDescent="0.35"/>
    <row r="588" ht="13.5" customHeight="1" x14ac:dyDescent="0.35"/>
    <row r="589" ht="13.5" customHeight="1" x14ac:dyDescent="0.35"/>
    <row r="590" ht="13.5" customHeight="1" x14ac:dyDescent="0.35"/>
    <row r="591" ht="13.5" customHeight="1" x14ac:dyDescent="0.35"/>
    <row r="592" ht="13.5" customHeight="1" x14ac:dyDescent="0.35"/>
    <row r="593" ht="13.5" customHeight="1" x14ac:dyDescent="0.35"/>
    <row r="594" ht="13.5" customHeight="1" x14ac:dyDescent="0.35"/>
    <row r="595" ht="13.5" customHeight="1" x14ac:dyDescent="0.35"/>
    <row r="596" ht="13.5" customHeight="1" x14ac:dyDescent="0.35"/>
    <row r="597" ht="13.5" customHeight="1" x14ac:dyDescent="0.35"/>
    <row r="598" ht="13.5" customHeight="1" x14ac:dyDescent="0.35"/>
    <row r="599" ht="13.5" customHeight="1" x14ac:dyDescent="0.35"/>
    <row r="600" ht="13.5" customHeight="1" x14ac:dyDescent="0.35"/>
    <row r="601" ht="13.5" customHeight="1" x14ac:dyDescent="0.35"/>
    <row r="602" ht="13.5" customHeight="1" x14ac:dyDescent="0.35"/>
    <row r="603" ht="13.5" customHeight="1" x14ac:dyDescent="0.35"/>
    <row r="604" ht="13.5" customHeight="1" x14ac:dyDescent="0.35"/>
    <row r="605" ht="13.5" customHeight="1" x14ac:dyDescent="0.35"/>
    <row r="606" ht="13.5" customHeight="1" x14ac:dyDescent="0.35"/>
    <row r="607" ht="13.5" customHeight="1" x14ac:dyDescent="0.35"/>
    <row r="608" ht="13.5" customHeight="1" x14ac:dyDescent="0.35"/>
    <row r="609" ht="13.5" customHeight="1" x14ac:dyDescent="0.35"/>
    <row r="610" ht="13.5" customHeight="1" x14ac:dyDescent="0.35"/>
    <row r="611" ht="13.5" customHeight="1" x14ac:dyDescent="0.35"/>
    <row r="612" ht="13.5" customHeight="1" x14ac:dyDescent="0.35"/>
    <row r="613" ht="13.5" customHeight="1" x14ac:dyDescent="0.35"/>
    <row r="614" ht="13.5" customHeight="1" x14ac:dyDescent="0.35"/>
    <row r="615" ht="13.5" customHeight="1" x14ac:dyDescent="0.35"/>
    <row r="616" ht="13.5" customHeight="1" x14ac:dyDescent="0.35"/>
    <row r="617" ht="13.5" customHeight="1" x14ac:dyDescent="0.35"/>
    <row r="618" ht="13.5" customHeight="1" x14ac:dyDescent="0.35"/>
    <row r="619" ht="13.5" customHeight="1" x14ac:dyDescent="0.35"/>
    <row r="620" ht="13.5" customHeight="1" x14ac:dyDescent="0.35"/>
    <row r="621" ht="13.5" customHeight="1" x14ac:dyDescent="0.35"/>
    <row r="622" ht="13.5" customHeight="1" x14ac:dyDescent="0.35"/>
    <row r="623" ht="13.5" customHeight="1" x14ac:dyDescent="0.35"/>
    <row r="624" ht="13.5" customHeight="1" x14ac:dyDescent="0.35"/>
    <row r="625" ht="13.5" customHeight="1" x14ac:dyDescent="0.35"/>
    <row r="626" ht="13.5" customHeight="1" x14ac:dyDescent="0.35"/>
    <row r="627" ht="13.5" customHeight="1" x14ac:dyDescent="0.35"/>
    <row r="628" ht="13.5" customHeight="1" x14ac:dyDescent="0.35"/>
    <row r="629" ht="13.5" customHeight="1" x14ac:dyDescent="0.35"/>
    <row r="630" ht="13.5" customHeight="1" x14ac:dyDescent="0.35"/>
    <row r="631" ht="13.5" customHeight="1" x14ac:dyDescent="0.35"/>
    <row r="632" ht="13.5" customHeight="1" x14ac:dyDescent="0.35"/>
    <row r="633" ht="13.5" customHeight="1" x14ac:dyDescent="0.35"/>
    <row r="634" ht="13.5" customHeight="1" x14ac:dyDescent="0.35"/>
    <row r="635" ht="13.5" customHeight="1" x14ac:dyDescent="0.35"/>
    <row r="636" ht="13.5" customHeight="1" x14ac:dyDescent="0.35"/>
    <row r="637" ht="13.5" customHeight="1" x14ac:dyDescent="0.35"/>
    <row r="638" ht="13.5" customHeight="1" x14ac:dyDescent="0.35"/>
    <row r="639" ht="13.5" customHeight="1" x14ac:dyDescent="0.35"/>
    <row r="640" ht="13.5" customHeight="1" x14ac:dyDescent="0.35"/>
    <row r="641" ht="13.5" customHeight="1" x14ac:dyDescent="0.35"/>
    <row r="642" ht="13.5" customHeight="1" x14ac:dyDescent="0.35"/>
    <row r="643" ht="13.5" customHeight="1" x14ac:dyDescent="0.35"/>
    <row r="644" ht="13.5" customHeight="1" x14ac:dyDescent="0.35"/>
    <row r="645" ht="13.5" customHeight="1" x14ac:dyDescent="0.35"/>
    <row r="646" ht="13.5" customHeight="1" x14ac:dyDescent="0.35"/>
    <row r="647" ht="13.5" customHeight="1" x14ac:dyDescent="0.35"/>
    <row r="648" ht="13.5" customHeight="1" x14ac:dyDescent="0.35"/>
    <row r="649" ht="13.5" customHeight="1" x14ac:dyDescent="0.35"/>
    <row r="650" ht="13.5" customHeight="1" x14ac:dyDescent="0.35"/>
    <row r="651" ht="13.5" customHeight="1" x14ac:dyDescent="0.35"/>
    <row r="652" ht="13.5" customHeight="1" x14ac:dyDescent="0.35"/>
    <row r="653" ht="13.5" customHeight="1" x14ac:dyDescent="0.35"/>
    <row r="654" ht="13.5" customHeight="1" x14ac:dyDescent="0.35"/>
    <row r="655" ht="13.5" customHeight="1" x14ac:dyDescent="0.35"/>
    <row r="656" ht="13.5" customHeight="1" x14ac:dyDescent="0.35"/>
    <row r="657" ht="13.5" customHeight="1" x14ac:dyDescent="0.35"/>
    <row r="658" ht="13.5" customHeight="1" x14ac:dyDescent="0.35"/>
    <row r="659" ht="13.5" customHeight="1" x14ac:dyDescent="0.35"/>
    <row r="660" ht="13.5" customHeight="1" x14ac:dyDescent="0.35"/>
    <row r="661" ht="13.5" customHeight="1" x14ac:dyDescent="0.35"/>
    <row r="662" ht="13.5" customHeight="1" x14ac:dyDescent="0.35"/>
    <row r="663" ht="13.5" customHeight="1" x14ac:dyDescent="0.35"/>
    <row r="664" ht="13.5" customHeight="1" x14ac:dyDescent="0.35"/>
    <row r="665" ht="13.5" customHeight="1" x14ac:dyDescent="0.35"/>
    <row r="666" ht="13.5" customHeight="1" x14ac:dyDescent="0.35"/>
    <row r="667" ht="13.5" customHeight="1" x14ac:dyDescent="0.35"/>
    <row r="668" ht="13.5" customHeight="1" x14ac:dyDescent="0.35"/>
    <row r="669" ht="13.5" customHeight="1" x14ac:dyDescent="0.35"/>
    <row r="670" ht="13.5" customHeight="1" x14ac:dyDescent="0.35"/>
    <row r="671" ht="13.5" customHeight="1" x14ac:dyDescent="0.35"/>
    <row r="672" ht="13.5" customHeight="1" x14ac:dyDescent="0.35"/>
    <row r="673" ht="13.5" customHeight="1" x14ac:dyDescent="0.35"/>
    <row r="674" ht="13.5" customHeight="1" x14ac:dyDescent="0.35"/>
    <row r="675" ht="13.5" customHeight="1" x14ac:dyDescent="0.35"/>
    <row r="676" ht="13.5" customHeight="1" x14ac:dyDescent="0.35"/>
    <row r="677" ht="13.5" customHeight="1" x14ac:dyDescent="0.35"/>
    <row r="678" ht="13.5" customHeight="1" x14ac:dyDescent="0.35"/>
    <row r="679" ht="13.5" customHeight="1" x14ac:dyDescent="0.35"/>
    <row r="680" ht="13.5" customHeight="1" x14ac:dyDescent="0.35"/>
    <row r="681" ht="13.5" customHeight="1" x14ac:dyDescent="0.35"/>
    <row r="682" ht="13.5" customHeight="1" x14ac:dyDescent="0.35"/>
    <row r="683" ht="13.5" customHeight="1" x14ac:dyDescent="0.35"/>
    <row r="684" ht="13.5" customHeight="1" x14ac:dyDescent="0.35"/>
    <row r="685" ht="13.5" customHeight="1" x14ac:dyDescent="0.35"/>
    <row r="686" ht="13.5" customHeight="1" x14ac:dyDescent="0.35"/>
    <row r="687" ht="13.5" customHeight="1" x14ac:dyDescent="0.35"/>
    <row r="688" ht="13.5" customHeight="1" x14ac:dyDescent="0.35"/>
    <row r="689" ht="13.5" customHeight="1" x14ac:dyDescent="0.35"/>
    <row r="690" ht="13.5" customHeight="1" x14ac:dyDescent="0.35"/>
    <row r="691" ht="13.5" customHeight="1" x14ac:dyDescent="0.35"/>
    <row r="692" ht="13.5" customHeight="1" x14ac:dyDescent="0.35"/>
    <row r="693" ht="13.5" customHeight="1" x14ac:dyDescent="0.35"/>
    <row r="694" ht="13.5" customHeight="1" x14ac:dyDescent="0.35"/>
    <row r="695" ht="13.5" customHeight="1" x14ac:dyDescent="0.35"/>
    <row r="696" ht="13.5" customHeight="1" x14ac:dyDescent="0.35"/>
    <row r="697" ht="13.5" customHeight="1" x14ac:dyDescent="0.35"/>
    <row r="698" ht="13.5" customHeight="1" x14ac:dyDescent="0.35"/>
    <row r="699" ht="13.5" customHeight="1" x14ac:dyDescent="0.35"/>
    <row r="700" ht="13.5" customHeight="1" x14ac:dyDescent="0.35"/>
    <row r="701" ht="13.5" customHeight="1" x14ac:dyDescent="0.35"/>
    <row r="702" ht="13.5" customHeight="1" x14ac:dyDescent="0.35"/>
    <row r="703" ht="13.5" customHeight="1" x14ac:dyDescent="0.35"/>
    <row r="704" ht="13.5" customHeight="1" x14ac:dyDescent="0.35"/>
    <row r="705" ht="13.5" customHeight="1" x14ac:dyDescent="0.35"/>
    <row r="706" ht="13.5" customHeight="1" x14ac:dyDescent="0.35"/>
    <row r="707" ht="13.5" customHeight="1" x14ac:dyDescent="0.35"/>
    <row r="708" ht="13.5" customHeight="1" x14ac:dyDescent="0.35"/>
    <row r="709" ht="13.5" customHeight="1" x14ac:dyDescent="0.35"/>
    <row r="710" ht="13.5" customHeight="1" x14ac:dyDescent="0.35"/>
    <row r="711" ht="13.5" customHeight="1" x14ac:dyDescent="0.35"/>
    <row r="712" ht="13.5" customHeight="1" x14ac:dyDescent="0.35"/>
    <row r="713" ht="13.5" customHeight="1" x14ac:dyDescent="0.35"/>
    <row r="714" ht="13.5" customHeight="1" x14ac:dyDescent="0.35"/>
    <row r="715" ht="13.5" customHeight="1" x14ac:dyDescent="0.35"/>
    <row r="716" ht="13.5" customHeight="1" x14ac:dyDescent="0.35"/>
    <row r="717" ht="13.5" customHeight="1" x14ac:dyDescent="0.35"/>
    <row r="718" ht="13.5" customHeight="1" x14ac:dyDescent="0.35"/>
    <row r="719" ht="13.5" customHeight="1" x14ac:dyDescent="0.35"/>
    <row r="720" ht="13.5" customHeight="1" x14ac:dyDescent="0.35"/>
    <row r="721" ht="13.5" customHeight="1" x14ac:dyDescent="0.35"/>
    <row r="722" ht="13.5" customHeight="1" x14ac:dyDescent="0.35"/>
    <row r="723" ht="13.5" customHeight="1" x14ac:dyDescent="0.35"/>
    <row r="724" ht="13.5" customHeight="1" x14ac:dyDescent="0.35"/>
    <row r="725" ht="13.5" customHeight="1" x14ac:dyDescent="0.35"/>
    <row r="726" ht="13.5" customHeight="1" x14ac:dyDescent="0.35"/>
    <row r="727" ht="13.5" customHeight="1" x14ac:dyDescent="0.35"/>
    <row r="728" ht="13.5" customHeight="1" x14ac:dyDescent="0.35"/>
    <row r="729" ht="13.5" customHeight="1" x14ac:dyDescent="0.35"/>
    <row r="730" ht="13.5" customHeight="1" x14ac:dyDescent="0.35"/>
    <row r="731" ht="13.5" customHeight="1" x14ac:dyDescent="0.35"/>
    <row r="732" ht="13.5" customHeight="1" x14ac:dyDescent="0.35"/>
    <row r="733" ht="13.5" customHeight="1" x14ac:dyDescent="0.35"/>
    <row r="734" ht="13.5" customHeight="1" x14ac:dyDescent="0.35"/>
    <row r="735" ht="13.5" customHeight="1" x14ac:dyDescent="0.35"/>
    <row r="736" ht="13.5" customHeight="1" x14ac:dyDescent="0.35"/>
    <row r="737" ht="13.5" customHeight="1" x14ac:dyDescent="0.35"/>
    <row r="738" ht="13.5" customHeight="1" x14ac:dyDescent="0.35"/>
    <row r="739" ht="13.5" customHeight="1" x14ac:dyDescent="0.35"/>
    <row r="740" ht="13.5" customHeight="1" x14ac:dyDescent="0.35"/>
    <row r="741" ht="13.5" customHeight="1" x14ac:dyDescent="0.35"/>
    <row r="742" ht="13.5" customHeight="1" x14ac:dyDescent="0.35"/>
    <row r="743" ht="13.5" customHeight="1" x14ac:dyDescent="0.35"/>
    <row r="744" ht="13.5" customHeight="1" x14ac:dyDescent="0.35"/>
    <row r="745" ht="13.5" customHeight="1" x14ac:dyDescent="0.35"/>
    <row r="746" ht="13.5" customHeight="1" x14ac:dyDescent="0.35"/>
    <row r="747" ht="13.5" customHeight="1" x14ac:dyDescent="0.35"/>
    <row r="748" ht="13.5" customHeight="1" x14ac:dyDescent="0.35"/>
    <row r="749" ht="13.5" customHeight="1" x14ac:dyDescent="0.35"/>
    <row r="750" ht="13.5" customHeight="1" x14ac:dyDescent="0.35"/>
    <row r="751" ht="13.5" customHeight="1" x14ac:dyDescent="0.35"/>
    <row r="752" ht="13.5" customHeight="1" x14ac:dyDescent="0.35"/>
    <row r="753" ht="13.5" customHeight="1" x14ac:dyDescent="0.35"/>
    <row r="754" ht="13.5" customHeight="1" x14ac:dyDescent="0.35"/>
    <row r="755" ht="13.5" customHeight="1" x14ac:dyDescent="0.35"/>
    <row r="756" ht="13.5" customHeight="1" x14ac:dyDescent="0.35"/>
    <row r="757" ht="13.5" customHeight="1" x14ac:dyDescent="0.35"/>
    <row r="758" ht="13.5" customHeight="1" x14ac:dyDescent="0.35"/>
    <row r="759" ht="13.5" customHeight="1" x14ac:dyDescent="0.35"/>
    <row r="760" ht="13.5" customHeight="1" x14ac:dyDescent="0.35"/>
    <row r="761" ht="13.5" customHeight="1" x14ac:dyDescent="0.35"/>
    <row r="762" ht="13.5" customHeight="1" x14ac:dyDescent="0.35"/>
    <row r="763" ht="13.5" customHeight="1" x14ac:dyDescent="0.35"/>
    <row r="764" ht="13.5" customHeight="1" x14ac:dyDescent="0.35"/>
    <row r="765" ht="13.5" customHeight="1" x14ac:dyDescent="0.35"/>
    <row r="766" ht="13.5" customHeight="1" x14ac:dyDescent="0.35"/>
    <row r="767" ht="13.5" customHeight="1" x14ac:dyDescent="0.35"/>
    <row r="768" ht="13.5" customHeight="1" x14ac:dyDescent="0.35"/>
    <row r="769" ht="13.5" customHeight="1" x14ac:dyDescent="0.35"/>
    <row r="770" ht="13.5" customHeight="1" x14ac:dyDescent="0.35"/>
    <row r="771" ht="13.5" customHeight="1" x14ac:dyDescent="0.35"/>
    <row r="772" ht="13.5" customHeight="1" x14ac:dyDescent="0.35"/>
    <row r="773" ht="13.5" customHeight="1" x14ac:dyDescent="0.35"/>
    <row r="774" ht="13.5" customHeight="1" x14ac:dyDescent="0.35"/>
    <row r="775" ht="13.5" customHeight="1" x14ac:dyDescent="0.35"/>
    <row r="776" ht="13.5" customHeight="1" x14ac:dyDescent="0.35"/>
    <row r="777" ht="13.5" customHeight="1" x14ac:dyDescent="0.35"/>
    <row r="778" ht="13.5" customHeight="1" x14ac:dyDescent="0.35"/>
    <row r="779" ht="13.5" customHeight="1" x14ac:dyDescent="0.35"/>
    <row r="780" ht="13.5" customHeight="1" x14ac:dyDescent="0.35"/>
    <row r="781" ht="13.5" customHeight="1" x14ac:dyDescent="0.35"/>
    <row r="782" ht="13.5" customHeight="1" x14ac:dyDescent="0.35"/>
    <row r="783" ht="13.5" customHeight="1" x14ac:dyDescent="0.35"/>
    <row r="784" ht="13.5" customHeight="1" x14ac:dyDescent="0.35"/>
    <row r="785" ht="13.5" customHeight="1" x14ac:dyDescent="0.35"/>
    <row r="786" ht="13.5" customHeight="1" x14ac:dyDescent="0.35"/>
    <row r="787" ht="13.5" customHeight="1" x14ac:dyDescent="0.35"/>
    <row r="788" ht="13.5" customHeight="1" x14ac:dyDescent="0.35"/>
    <row r="789" ht="13.5" customHeight="1" x14ac:dyDescent="0.35"/>
    <row r="790" ht="13.5" customHeight="1" x14ac:dyDescent="0.35"/>
    <row r="791" ht="13.5" customHeight="1" x14ac:dyDescent="0.35"/>
    <row r="792" ht="13.5" customHeight="1" x14ac:dyDescent="0.35"/>
    <row r="793" ht="13.5" customHeight="1" x14ac:dyDescent="0.35"/>
    <row r="794" ht="13.5" customHeight="1" x14ac:dyDescent="0.35"/>
    <row r="795" ht="13.5" customHeight="1" x14ac:dyDescent="0.35"/>
    <row r="796" ht="13.5" customHeight="1" x14ac:dyDescent="0.35"/>
    <row r="797" ht="13.5" customHeight="1" x14ac:dyDescent="0.35"/>
    <row r="798" ht="13.5" customHeight="1" x14ac:dyDescent="0.35"/>
    <row r="799" ht="13.5" customHeight="1" x14ac:dyDescent="0.35"/>
    <row r="800" ht="13.5" customHeight="1" x14ac:dyDescent="0.35"/>
    <row r="801" ht="13.5" customHeight="1" x14ac:dyDescent="0.35"/>
    <row r="802" ht="13.5" customHeight="1" x14ac:dyDescent="0.35"/>
    <row r="803" ht="13.5" customHeight="1" x14ac:dyDescent="0.35"/>
    <row r="804" ht="13.5" customHeight="1" x14ac:dyDescent="0.35"/>
    <row r="805" ht="13.5" customHeight="1" x14ac:dyDescent="0.35"/>
    <row r="806" ht="13.5" customHeight="1" x14ac:dyDescent="0.35"/>
    <row r="807" ht="13.5" customHeight="1" x14ac:dyDescent="0.35"/>
    <row r="808" ht="13.5" customHeight="1" x14ac:dyDescent="0.35"/>
    <row r="809" ht="13.5" customHeight="1" x14ac:dyDescent="0.35"/>
    <row r="810" ht="13.5" customHeight="1" x14ac:dyDescent="0.35"/>
    <row r="811" ht="13.5" customHeight="1" x14ac:dyDescent="0.35"/>
    <row r="812" ht="13.5" customHeight="1" x14ac:dyDescent="0.35"/>
    <row r="813" ht="13.5" customHeight="1" x14ac:dyDescent="0.35"/>
    <row r="814" ht="13.5" customHeight="1" x14ac:dyDescent="0.35"/>
    <row r="815" ht="13.5" customHeight="1" x14ac:dyDescent="0.35"/>
    <row r="816" ht="13.5" customHeight="1" x14ac:dyDescent="0.35"/>
    <row r="817" ht="13.5" customHeight="1" x14ac:dyDescent="0.35"/>
    <row r="818" ht="13.5" customHeight="1" x14ac:dyDescent="0.35"/>
    <row r="819" ht="13.5" customHeight="1" x14ac:dyDescent="0.35"/>
    <row r="820" ht="13.5" customHeight="1" x14ac:dyDescent="0.35"/>
    <row r="821" ht="13.5" customHeight="1" x14ac:dyDescent="0.35"/>
    <row r="822" ht="13.5" customHeight="1" x14ac:dyDescent="0.35"/>
    <row r="823" ht="13.5" customHeight="1" x14ac:dyDescent="0.35"/>
    <row r="824" ht="13.5" customHeight="1" x14ac:dyDescent="0.35"/>
    <row r="825" ht="13.5" customHeight="1" x14ac:dyDescent="0.35"/>
    <row r="826" ht="13.5" customHeight="1" x14ac:dyDescent="0.35"/>
    <row r="827" ht="13.5" customHeight="1" x14ac:dyDescent="0.35"/>
    <row r="828" ht="13.5" customHeight="1" x14ac:dyDescent="0.35"/>
    <row r="829" ht="13.5" customHeight="1" x14ac:dyDescent="0.35"/>
    <row r="830" ht="13.5" customHeight="1" x14ac:dyDescent="0.35"/>
    <row r="831" ht="13.5" customHeight="1" x14ac:dyDescent="0.35"/>
    <row r="832" ht="13.5" customHeight="1" x14ac:dyDescent="0.35"/>
    <row r="833" ht="13.5" customHeight="1" x14ac:dyDescent="0.35"/>
    <row r="834" ht="13.5" customHeight="1" x14ac:dyDescent="0.35"/>
    <row r="835" ht="13.5" customHeight="1" x14ac:dyDescent="0.35"/>
    <row r="836" ht="13.5" customHeight="1" x14ac:dyDescent="0.35"/>
    <row r="837" ht="13.5" customHeight="1" x14ac:dyDescent="0.35"/>
    <row r="838" ht="13.5" customHeight="1" x14ac:dyDescent="0.35"/>
    <row r="839" ht="13.5" customHeight="1" x14ac:dyDescent="0.35"/>
    <row r="840" ht="13.5" customHeight="1" x14ac:dyDescent="0.35"/>
    <row r="841" ht="13.5" customHeight="1" x14ac:dyDescent="0.35"/>
    <row r="842" ht="13.5" customHeight="1" x14ac:dyDescent="0.35"/>
    <row r="843" ht="13.5" customHeight="1" x14ac:dyDescent="0.35"/>
    <row r="844" ht="13.5" customHeight="1" x14ac:dyDescent="0.35"/>
    <row r="845" ht="13.5" customHeight="1" x14ac:dyDescent="0.35"/>
    <row r="846" ht="13.5" customHeight="1" x14ac:dyDescent="0.35"/>
    <row r="847" ht="13.5" customHeight="1" x14ac:dyDescent="0.35"/>
    <row r="848" ht="13.5" customHeight="1" x14ac:dyDescent="0.35"/>
    <row r="849" ht="13.5" customHeight="1" x14ac:dyDescent="0.35"/>
    <row r="850" ht="13.5" customHeight="1" x14ac:dyDescent="0.35"/>
    <row r="851" ht="13.5" customHeight="1" x14ac:dyDescent="0.35"/>
    <row r="852" ht="13.5" customHeight="1" x14ac:dyDescent="0.35"/>
    <row r="853" ht="13.5" customHeight="1" x14ac:dyDescent="0.35"/>
    <row r="854" ht="13.5" customHeight="1" x14ac:dyDescent="0.35"/>
    <row r="855" ht="13.5" customHeight="1" x14ac:dyDescent="0.35"/>
    <row r="856" ht="13.5" customHeight="1" x14ac:dyDescent="0.35"/>
    <row r="857" ht="13.5" customHeight="1" x14ac:dyDescent="0.35"/>
    <row r="858" ht="13.5" customHeight="1" x14ac:dyDescent="0.35"/>
    <row r="859" ht="13.5" customHeight="1" x14ac:dyDescent="0.35"/>
    <row r="860" ht="13.5" customHeight="1" x14ac:dyDescent="0.35"/>
    <row r="861" ht="13.5" customHeight="1" x14ac:dyDescent="0.35"/>
    <row r="862" ht="13.5" customHeight="1" x14ac:dyDescent="0.35"/>
    <row r="863" ht="13.5" customHeight="1" x14ac:dyDescent="0.35"/>
    <row r="864" ht="13.5" customHeight="1" x14ac:dyDescent="0.35"/>
    <row r="865" ht="13.5" customHeight="1" x14ac:dyDescent="0.35"/>
    <row r="866" ht="13.5" customHeight="1" x14ac:dyDescent="0.35"/>
    <row r="867" ht="13.5" customHeight="1" x14ac:dyDescent="0.35"/>
    <row r="868" ht="13.5" customHeight="1" x14ac:dyDescent="0.35"/>
    <row r="869" ht="13.5" customHeight="1" x14ac:dyDescent="0.35"/>
    <row r="870" ht="13.5" customHeight="1" x14ac:dyDescent="0.35"/>
    <row r="871" ht="13.5" customHeight="1" x14ac:dyDescent="0.35"/>
    <row r="872" ht="13.5" customHeight="1" x14ac:dyDescent="0.35"/>
    <row r="873" ht="13.5" customHeight="1" x14ac:dyDescent="0.35"/>
    <row r="874" ht="13.5" customHeight="1" x14ac:dyDescent="0.35"/>
    <row r="875" ht="13.5" customHeight="1" x14ac:dyDescent="0.35"/>
    <row r="876" ht="13.5" customHeight="1" x14ac:dyDescent="0.35"/>
    <row r="877" ht="13.5" customHeight="1" x14ac:dyDescent="0.35"/>
    <row r="878" ht="13.5" customHeight="1" x14ac:dyDescent="0.35"/>
    <row r="879" ht="13.5" customHeight="1" x14ac:dyDescent="0.35"/>
    <row r="880" ht="13.5" customHeight="1" x14ac:dyDescent="0.35"/>
    <row r="881" ht="13.5" customHeight="1" x14ac:dyDescent="0.35"/>
    <row r="882" ht="13.5" customHeight="1" x14ac:dyDescent="0.35"/>
    <row r="883" ht="13.5" customHeight="1" x14ac:dyDescent="0.35"/>
    <row r="884" ht="13.5" customHeight="1" x14ac:dyDescent="0.35"/>
    <row r="885" ht="13.5" customHeight="1" x14ac:dyDescent="0.35"/>
    <row r="886" ht="13.5" customHeight="1" x14ac:dyDescent="0.35"/>
    <row r="887" ht="13.5" customHeight="1" x14ac:dyDescent="0.35"/>
    <row r="888" ht="13.5" customHeight="1" x14ac:dyDescent="0.35"/>
    <row r="889" ht="13.5" customHeight="1" x14ac:dyDescent="0.35"/>
    <row r="890" ht="13.5" customHeight="1" x14ac:dyDescent="0.35"/>
    <row r="891" ht="13.5" customHeight="1" x14ac:dyDescent="0.35"/>
    <row r="892" ht="13.5" customHeight="1" x14ac:dyDescent="0.35"/>
    <row r="893" ht="13.5" customHeight="1" x14ac:dyDescent="0.35"/>
    <row r="894" ht="13.5" customHeight="1" x14ac:dyDescent="0.35"/>
    <row r="895" ht="13.5" customHeight="1" x14ac:dyDescent="0.35"/>
    <row r="896" ht="13.5" customHeight="1" x14ac:dyDescent="0.35"/>
    <row r="897" ht="13.5" customHeight="1" x14ac:dyDescent="0.35"/>
    <row r="898" ht="13.5" customHeight="1" x14ac:dyDescent="0.35"/>
    <row r="899" ht="13.5" customHeight="1" x14ac:dyDescent="0.35"/>
    <row r="900" ht="13.5" customHeight="1" x14ac:dyDescent="0.35"/>
    <row r="901" ht="13.5" customHeight="1" x14ac:dyDescent="0.35"/>
    <row r="902" ht="13.5" customHeight="1" x14ac:dyDescent="0.35"/>
    <row r="903" ht="13.5" customHeight="1" x14ac:dyDescent="0.35"/>
    <row r="904" ht="13.5" customHeight="1" x14ac:dyDescent="0.35"/>
    <row r="905" ht="13.5" customHeight="1" x14ac:dyDescent="0.35"/>
    <row r="906" ht="13.5" customHeight="1" x14ac:dyDescent="0.35"/>
    <row r="907" ht="13.5" customHeight="1" x14ac:dyDescent="0.35"/>
    <row r="908" ht="13.5" customHeight="1" x14ac:dyDescent="0.35"/>
    <row r="909" ht="13.5" customHeight="1" x14ac:dyDescent="0.35"/>
    <row r="910" ht="13.5" customHeight="1" x14ac:dyDescent="0.35"/>
    <row r="911" ht="13.5" customHeight="1" x14ac:dyDescent="0.35"/>
    <row r="912" ht="13.5" customHeight="1" x14ac:dyDescent="0.35"/>
    <row r="913" ht="13.5" customHeight="1" x14ac:dyDescent="0.35"/>
    <row r="914" ht="13.5" customHeight="1" x14ac:dyDescent="0.35"/>
    <row r="915" ht="13.5" customHeight="1" x14ac:dyDescent="0.35"/>
    <row r="916" ht="13.5" customHeight="1" x14ac:dyDescent="0.35"/>
    <row r="917" ht="13.5" customHeight="1" x14ac:dyDescent="0.35"/>
    <row r="918" ht="13.5" customHeight="1" x14ac:dyDescent="0.35"/>
    <row r="919" ht="13.5" customHeight="1" x14ac:dyDescent="0.35"/>
    <row r="920" ht="13.5" customHeight="1" x14ac:dyDescent="0.35"/>
    <row r="921" ht="13.5" customHeight="1" x14ac:dyDescent="0.35"/>
    <row r="922" ht="13.5" customHeight="1" x14ac:dyDescent="0.35"/>
    <row r="923" ht="13.5" customHeight="1" x14ac:dyDescent="0.35"/>
    <row r="924" ht="13.5" customHeight="1" x14ac:dyDescent="0.35"/>
    <row r="925" ht="13.5" customHeight="1" x14ac:dyDescent="0.35"/>
    <row r="926" ht="13.5" customHeight="1" x14ac:dyDescent="0.35"/>
    <row r="927" ht="13.5" customHeight="1" x14ac:dyDescent="0.35"/>
    <row r="928" ht="13.5" customHeight="1" x14ac:dyDescent="0.35"/>
    <row r="929" ht="13.5" customHeight="1" x14ac:dyDescent="0.35"/>
  </sheetData>
  <mergeCells count="15">
    <mergeCell ref="A19:B19"/>
    <mergeCell ref="A14:B14"/>
    <mergeCell ref="A15:B15"/>
    <mergeCell ref="A16:B16"/>
    <mergeCell ref="A17:B17"/>
    <mergeCell ref="A18:B18"/>
    <mergeCell ref="A26:B26"/>
    <mergeCell ref="D29:L29"/>
    <mergeCell ref="C30:C31"/>
    <mergeCell ref="A20:B20"/>
    <mergeCell ref="A21:B21"/>
    <mergeCell ref="A22:B22"/>
    <mergeCell ref="A23:B23"/>
    <mergeCell ref="A24:B24"/>
    <mergeCell ref="A25:B25"/>
  </mergeCells>
  <conditionalFormatting sqref="D31:L31">
    <cfRule type="cellIs" dxfId="5" priority="3" operator="lessThan">
      <formula>0</formula>
    </cfRule>
    <cfRule type="cellIs" dxfId="4" priority="4" operator="greaterThan">
      <formula>0</formula>
    </cfRule>
  </conditionalFormatting>
  <conditionalFormatting sqref="E41:H41 J41">
    <cfRule type="cellIs" dxfId="3" priority="2" operator="greaterThan">
      <formula>0</formula>
    </cfRule>
  </conditionalFormatting>
  <conditionalFormatting sqref="J3:J11">
    <cfRule type="cellIs" dxfId="2" priority="5" operator="greaterThan">
      <formula>0</formula>
    </cfRule>
    <cfRule type="cellIs" dxfId="1" priority="6" operator="lessThan">
      <formula>0</formula>
    </cfRule>
  </conditionalFormatting>
  <conditionalFormatting sqref="M32 M37 M39:M40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ARŞ. GÖR. KODLARI</vt:lpstr>
      <vt:lpstr>first</vt:lpstr>
      <vt:lpstr>second</vt:lpstr>
      <vt:lpstr>GÖREV HESABI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Berk Ercin</cp:lastModifiedBy>
  <dcterms:modified xsi:type="dcterms:W3CDTF">2025-07-14T11:50:33Z</dcterms:modified>
</cp:coreProperties>
</file>