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scheduling/Campus-Scheduling/data/"/>
    </mc:Choice>
  </mc:AlternateContent>
  <xr:revisionPtr revIDLastSave="317" documentId="13_ncr:1_{2F4E111E-A812-457A-A66B-8D032B2AB51D}" xr6:coauthVersionLast="47" xr6:coauthVersionMax="47" xr10:uidLastSave="{3F1A38D9-71B9-47F5-B6D3-1BED46725713}"/>
  <bookViews>
    <workbookView xWindow="-17640" yWindow="-21720" windowWidth="38640" windowHeight="21120" xr2:uid="{00000000-000D-0000-FFFF-FFFF00000000}"/>
  </bookViews>
  <sheets>
    <sheet name="Sheet1" sheetId="1" r:id="rId1"/>
    <sheet name="InstructorID_Algoritma" sheetId="2" state="hidden" r:id="rId2"/>
    <sheet name="InstructorID_List" sheetId="3" r:id="rId3"/>
  </sheets>
  <definedNames>
    <definedName name="_xlnm._FilterDatabase" localSheetId="1" hidden="1">InstructorID_Algoritma!$F$1:$Z$172</definedName>
    <definedName name="_xlnm._FilterDatabase" localSheetId="2" hidden="1">InstructorID_List!$A$1:$B$47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2" l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M2" i="2"/>
  <c r="M3" i="2"/>
  <c r="N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2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L3" i="2"/>
  <c r="O3" i="2"/>
  <c r="P3" i="2" s="1"/>
  <c r="S3" i="2" s="1"/>
  <c r="Q3" i="2"/>
  <c r="R3" i="2" s="1"/>
  <c r="T3" i="2" s="1"/>
  <c r="U3" i="2"/>
  <c r="V3" i="2" s="1"/>
  <c r="W3" i="2"/>
  <c r="X3" i="2" s="1"/>
  <c r="L4" i="2"/>
  <c r="O4" i="2"/>
  <c r="P4" i="2" s="1"/>
  <c r="S4" i="2" s="1"/>
  <c r="Q4" i="2"/>
  <c r="R4" i="2" s="1"/>
  <c r="T4" i="2" s="1"/>
  <c r="U4" i="2"/>
  <c r="V4" i="2" s="1"/>
  <c r="W4" i="2"/>
  <c r="X4" i="2" s="1"/>
  <c r="L5" i="2"/>
  <c r="O5" i="2"/>
  <c r="P5" i="2" s="1"/>
  <c r="S5" i="2" s="1"/>
  <c r="Q5" i="2"/>
  <c r="R5" i="2" s="1"/>
  <c r="T5" i="2" s="1"/>
  <c r="U5" i="2"/>
  <c r="V5" i="2" s="1"/>
  <c r="W5" i="2"/>
  <c r="X5" i="2" s="1"/>
  <c r="L6" i="2"/>
  <c r="O6" i="2"/>
  <c r="P6" i="2" s="1"/>
  <c r="S6" i="2" s="1"/>
  <c r="Q6" i="2"/>
  <c r="R6" i="2" s="1"/>
  <c r="T6" i="2" s="1"/>
  <c r="U6" i="2"/>
  <c r="V6" i="2" s="1"/>
  <c r="W6" i="2"/>
  <c r="X6" i="2" s="1"/>
  <c r="L7" i="2"/>
  <c r="O7" i="2"/>
  <c r="P7" i="2" s="1"/>
  <c r="S7" i="2" s="1"/>
  <c r="Q7" i="2"/>
  <c r="R7" i="2" s="1"/>
  <c r="T7" i="2" s="1"/>
  <c r="U7" i="2"/>
  <c r="V7" i="2" s="1"/>
  <c r="W7" i="2"/>
  <c r="X7" i="2" s="1"/>
  <c r="L8" i="2"/>
  <c r="O8" i="2"/>
  <c r="P8" i="2" s="1"/>
  <c r="S8" i="2" s="1"/>
  <c r="Q8" i="2"/>
  <c r="R8" i="2" s="1"/>
  <c r="T8" i="2" s="1"/>
  <c r="U8" i="2"/>
  <c r="V8" i="2" s="1"/>
  <c r="W8" i="2"/>
  <c r="X8" i="2" s="1"/>
  <c r="L9" i="2"/>
  <c r="O9" i="2"/>
  <c r="P9" i="2" s="1"/>
  <c r="S9" i="2" s="1"/>
  <c r="Q9" i="2"/>
  <c r="R9" i="2" s="1"/>
  <c r="T9" i="2" s="1"/>
  <c r="U9" i="2"/>
  <c r="V9" i="2" s="1"/>
  <c r="W9" i="2"/>
  <c r="X9" i="2" s="1"/>
  <c r="L10" i="2"/>
  <c r="O10" i="2"/>
  <c r="P10" i="2" s="1"/>
  <c r="S10" i="2" s="1"/>
  <c r="Q10" i="2"/>
  <c r="R10" i="2" s="1"/>
  <c r="T10" i="2" s="1"/>
  <c r="U10" i="2"/>
  <c r="V10" i="2" s="1"/>
  <c r="W10" i="2"/>
  <c r="X10" i="2" s="1"/>
  <c r="L11" i="2"/>
  <c r="O11" i="2"/>
  <c r="P11" i="2" s="1"/>
  <c r="S11" i="2" s="1"/>
  <c r="Q11" i="2"/>
  <c r="R11" i="2" s="1"/>
  <c r="T11" i="2" s="1"/>
  <c r="U11" i="2"/>
  <c r="V11" i="2" s="1"/>
  <c r="W11" i="2"/>
  <c r="X11" i="2" s="1"/>
  <c r="L12" i="2"/>
  <c r="O12" i="2"/>
  <c r="P12" i="2" s="1"/>
  <c r="S12" i="2" s="1"/>
  <c r="Q12" i="2"/>
  <c r="R12" i="2" s="1"/>
  <c r="T12" i="2" s="1"/>
  <c r="U12" i="2"/>
  <c r="V12" i="2" s="1"/>
  <c r="W12" i="2"/>
  <c r="X12" i="2" s="1"/>
  <c r="L13" i="2"/>
  <c r="O13" i="2"/>
  <c r="P13" i="2" s="1"/>
  <c r="S13" i="2" s="1"/>
  <c r="Q13" i="2"/>
  <c r="R13" i="2" s="1"/>
  <c r="T13" i="2" s="1"/>
  <c r="U13" i="2"/>
  <c r="V13" i="2" s="1"/>
  <c r="W13" i="2"/>
  <c r="X13" i="2" s="1"/>
  <c r="L14" i="2"/>
  <c r="O14" i="2"/>
  <c r="P14" i="2" s="1"/>
  <c r="S14" i="2" s="1"/>
  <c r="Q14" i="2"/>
  <c r="R14" i="2" s="1"/>
  <c r="T14" i="2" s="1"/>
  <c r="U14" i="2"/>
  <c r="V14" i="2" s="1"/>
  <c r="W14" i="2"/>
  <c r="X14" i="2" s="1"/>
  <c r="L15" i="2"/>
  <c r="O15" i="2"/>
  <c r="P15" i="2" s="1"/>
  <c r="S15" i="2" s="1"/>
  <c r="Q15" i="2"/>
  <c r="R15" i="2" s="1"/>
  <c r="T15" i="2" s="1"/>
  <c r="U15" i="2"/>
  <c r="V15" i="2" s="1"/>
  <c r="W15" i="2"/>
  <c r="X15" i="2" s="1"/>
  <c r="L16" i="2"/>
  <c r="O16" i="2"/>
  <c r="P16" i="2" s="1"/>
  <c r="S16" i="2" s="1"/>
  <c r="Q16" i="2"/>
  <c r="R16" i="2" s="1"/>
  <c r="T16" i="2" s="1"/>
  <c r="U16" i="2"/>
  <c r="V16" i="2" s="1"/>
  <c r="W16" i="2"/>
  <c r="X16" i="2" s="1"/>
  <c r="L17" i="2"/>
  <c r="O17" i="2"/>
  <c r="P17" i="2" s="1"/>
  <c r="S17" i="2" s="1"/>
  <c r="Q17" i="2"/>
  <c r="R17" i="2" s="1"/>
  <c r="T17" i="2" s="1"/>
  <c r="U17" i="2"/>
  <c r="V17" i="2" s="1"/>
  <c r="W17" i="2"/>
  <c r="X17" i="2" s="1"/>
  <c r="L18" i="2"/>
  <c r="O18" i="2"/>
  <c r="P18" i="2" s="1"/>
  <c r="S18" i="2" s="1"/>
  <c r="Q18" i="2"/>
  <c r="R18" i="2" s="1"/>
  <c r="T18" i="2" s="1"/>
  <c r="U18" i="2"/>
  <c r="V18" i="2" s="1"/>
  <c r="W18" i="2"/>
  <c r="X18" i="2" s="1"/>
  <c r="L19" i="2"/>
  <c r="O19" i="2"/>
  <c r="P19" i="2" s="1"/>
  <c r="S19" i="2" s="1"/>
  <c r="Q19" i="2"/>
  <c r="R19" i="2" s="1"/>
  <c r="T19" i="2" s="1"/>
  <c r="U19" i="2"/>
  <c r="V19" i="2" s="1"/>
  <c r="W19" i="2"/>
  <c r="X19" i="2" s="1"/>
  <c r="L20" i="2"/>
  <c r="O20" i="2"/>
  <c r="P20" i="2" s="1"/>
  <c r="S20" i="2" s="1"/>
  <c r="Q20" i="2"/>
  <c r="R20" i="2" s="1"/>
  <c r="T20" i="2" s="1"/>
  <c r="U20" i="2"/>
  <c r="V20" i="2" s="1"/>
  <c r="W20" i="2"/>
  <c r="X20" i="2" s="1"/>
  <c r="L21" i="2"/>
  <c r="O21" i="2"/>
  <c r="P21" i="2" s="1"/>
  <c r="S21" i="2" s="1"/>
  <c r="Q21" i="2"/>
  <c r="R21" i="2" s="1"/>
  <c r="T21" i="2" s="1"/>
  <c r="U21" i="2"/>
  <c r="V21" i="2" s="1"/>
  <c r="W21" i="2"/>
  <c r="X21" i="2" s="1"/>
  <c r="L22" i="2"/>
  <c r="O22" i="2"/>
  <c r="P22" i="2" s="1"/>
  <c r="S22" i="2" s="1"/>
  <c r="Q22" i="2"/>
  <c r="R22" i="2" s="1"/>
  <c r="T22" i="2" s="1"/>
  <c r="U22" i="2"/>
  <c r="V22" i="2" s="1"/>
  <c r="W22" i="2"/>
  <c r="X22" i="2" s="1"/>
  <c r="L23" i="2"/>
  <c r="O23" i="2"/>
  <c r="P23" i="2" s="1"/>
  <c r="S23" i="2" s="1"/>
  <c r="Q23" i="2"/>
  <c r="R23" i="2" s="1"/>
  <c r="T23" i="2" s="1"/>
  <c r="U23" i="2"/>
  <c r="V23" i="2" s="1"/>
  <c r="W23" i="2"/>
  <c r="X23" i="2" s="1"/>
  <c r="L24" i="2"/>
  <c r="O24" i="2"/>
  <c r="P24" i="2" s="1"/>
  <c r="S24" i="2" s="1"/>
  <c r="Q24" i="2"/>
  <c r="R24" i="2" s="1"/>
  <c r="T24" i="2" s="1"/>
  <c r="U24" i="2"/>
  <c r="V24" i="2" s="1"/>
  <c r="W24" i="2"/>
  <c r="X24" i="2" s="1"/>
  <c r="L25" i="2"/>
  <c r="O25" i="2"/>
  <c r="P25" i="2" s="1"/>
  <c r="S25" i="2" s="1"/>
  <c r="Q25" i="2"/>
  <c r="R25" i="2" s="1"/>
  <c r="T25" i="2" s="1"/>
  <c r="U25" i="2"/>
  <c r="V25" i="2" s="1"/>
  <c r="W25" i="2"/>
  <c r="X25" i="2" s="1"/>
  <c r="L26" i="2"/>
  <c r="O26" i="2"/>
  <c r="P26" i="2" s="1"/>
  <c r="S26" i="2" s="1"/>
  <c r="Q26" i="2"/>
  <c r="R26" i="2" s="1"/>
  <c r="T26" i="2" s="1"/>
  <c r="U26" i="2"/>
  <c r="V26" i="2" s="1"/>
  <c r="W26" i="2"/>
  <c r="X26" i="2" s="1"/>
  <c r="L27" i="2"/>
  <c r="O27" i="2"/>
  <c r="P27" i="2" s="1"/>
  <c r="S27" i="2" s="1"/>
  <c r="Q27" i="2"/>
  <c r="R27" i="2" s="1"/>
  <c r="T27" i="2" s="1"/>
  <c r="U27" i="2"/>
  <c r="V27" i="2" s="1"/>
  <c r="W27" i="2"/>
  <c r="X27" i="2" s="1"/>
  <c r="L28" i="2"/>
  <c r="O28" i="2"/>
  <c r="P28" i="2" s="1"/>
  <c r="S28" i="2" s="1"/>
  <c r="Q28" i="2"/>
  <c r="R28" i="2" s="1"/>
  <c r="T28" i="2" s="1"/>
  <c r="U28" i="2"/>
  <c r="V28" i="2" s="1"/>
  <c r="W28" i="2"/>
  <c r="X28" i="2" s="1"/>
  <c r="L29" i="2"/>
  <c r="O29" i="2"/>
  <c r="P29" i="2" s="1"/>
  <c r="S29" i="2" s="1"/>
  <c r="Q29" i="2"/>
  <c r="R29" i="2" s="1"/>
  <c r="T29" i="2" s="1"/>
  <c r="U29" i="2"/>
  <c r="V29" i="2" s="1"/>
  <c r="W29" i="2"/>
  <c r="X29" i="2" s="1"/>
  <c r="L30" i="2"/>
  <c r="O30" i="2"/>
  <c r="P30" i="2" s="1"/>
  <c r="S30" i="2" s="1"/>
  <c r="Q30" i="2"/>
  <c r="R30" i="2" s="1"/>
  <c r="T30" i="2" s="1"/>
  <c r="U30" i="2"/>
  <c r="V30" i="2" s="1"/>
  <c r="W30" i="2"/>
  <c r="X30" i="2" s="1"/>
  <c r="L31" i="2"/>
  <c r="O31" i="2"/>
  <c r="P31" i="2" s="1"/>
  <c r="S31" i="2" s="1"/>
  <c r="Q31" i="2"/>
  <c r="R31" i="2" s="1"/>
  <c r="T31" i="2" s="1"/>
  <c r="U31" i="2"/>
  <c r="V31" i="2" s="1"/>
  <c r="W31" i="2"/>
  <c r="X31" i="2" s="1"/>
  <c r="L32" i="2"/>
  <c r="O32" i="2"/>
  <c r="P32" i="2" s="1"/>
  <c r="S32" i="2" s="1"/>
  <c r="Q32" i="2"/>
  <c r="R32" i="2" s="1"/>
  <c r="T32" i="2" s="1"/>
  <c r="U32" i="2"/>
  <c r="V32" i="2" s="1"/>
  <c r="W32" i="2"/>
  <c r="X32" i="2" s="1"/>
  <c r="L33" i="2"/>
  <c r="O33" i="2"/>
  <c r="P33" i="2" s="1"/>
  <c r="S33" i="2" s="1"/>
  <c r="Q33" i="2"/>
  <c r="R33" i="2" s="1"/>
  <c r="T33" i="2" s="1"/>
  <c r="U33" i="2"/>
  <c r="V33" i="2" s="1"/>
  <c r="W33" i="2"/>
  <c r="X33" i="2" s="1"/>
  <c r="L34" i="2"/>
  <c r="O34" i="2"/>
  <c r="P34" i="2" s="1"/>
  <c r="S34" i="2" s="1"/>
  <c r="Q34" i="2"/>
  <c r="R34" i="2" s="1"/>
  <c r="T34" i="2" s="1"/>
  <c r="U34" i="2"/>
  <c r="V34" i="2" s="1"/>
  <c r="W34" i="2"/>
  <c r="X34" i="2" s="1"/>
  <c r="L35" i="2"/>
  <c r="O35" i="2"/>
  <c r="P35" i="2" s="1"/>
  <c r="S35" i="2" s="1"/>
  <c r="Q35" i="2"/>
  <c r="R35" i="2" s="1"/>
  <c r="T35" i="2" s="1"/>
  <c r="U35" i="2"/>
  <c r="V35" i="2" s="1"/>
  <c r="W35" i="2"/>
  <c r="X35" i="2" s="1"/>
  <c r="L36" i="2"/>
  <c r="O36" i="2"/>
  <c r="P36" i="2" s="1"/>
  <c r="S36" i="2" s="1"/>
  <c r="Q36" i="2"/>
  <c r="R36" i="2" s="1"/>
  <c r="T36" i="2" s="1"/>
  <c r="U36" i="2"/>
  <c r="V36" i="2" s="1"/>
  <c r="W36" i="2"/>
  <c r="X36" i="2" s="1"/>
  <c r="L37" i="2"/>
  <c r="O37" i="2"/>
  <c r="P37" i="2" s="1"/>
  <c r="S37" i="2" s="1"/>
  <c r="Q37" i="2"/>
  <c r="R37" i="2" s="1"/>
  <c r="T37" i="2" s="1"/>
  <c r="U37" i="2"/>
  <c r="V37" i="2" s="1"/>
  <c r="W37" i="2"/>
  <c r="X37" i="2" s="1"/>
  <c r="L38" i="2"/>
  <c r="O38" i="2"/>
  <c r="P38" i="2" s="1"/>
  <c r="S38" i="2" s="1"/>
  <c r="Q38" i="2"/>
  <c r="R38" i="2" s="1"/>
  <c r="T38" i="2" s="1"/>
  <c r="U38" i="2"/>
  <c r="V38" i="2" s="1"/>
  <c r="W38" i="2"/>
  <c r="X38" i="2" s="1"/>
  <c r="L39" i="2"/>
  <c r="O39" i="2"/>
  <c r="P39" i="2" s="1"/>
  <c r="S39" i="2" s="1"/>
  <c r="Q39" i="2"/>
  <c r="R39" i="2" s="1"/>
  <c r="T39" i="2" s="1"/>
  <c r="U39" i="2"/>
  <c r="V39" i="2" s="1"/>
  <c r="W39" i="2"/>
  <c r="X39" i="2" s="1"/>
  <c r="L40" i="2"/>
  <c r="O40" i="2"/>
  <c r="P40" i="2" s="1"/>
  <c r="S40" i="2" s="1"/>
  <c r="Q40" i="2"/>
  <c r="R40" i="2" s="1"/>
  <c r="T40" i="2" s="1"/>
  <c r="U40" i="2"/>
  <c r="V40" i="2" s="1"/>
  <c r="W40" i="2"/>
  <c r="X40" i="2" s="1"/>
  <c r="L41" i="2"/>
  <c r="O41" i="2"/>
  <c r="P41" i="2" s="1"/>
  <c r="S41" i="2" s="1"/>
  <c r="Q41" i="2"/>
  <c r="R41" i="2" s="1"/>
  <c r="T41" i="2" s="1"/>
  <c r="U41" i="2"/>
  <c r="V41" i="2" s="1"/>
  <c r="W41" i="2"/>
  <c r="X41" i="2" s="1"/>
  <c r="L42" i="2"/>
  <c r="O42" i="2"/>
  <c r="P42" i="2" s="1"/>
  <c r="S42" i="2" s="1"/>
  <c r="Q42" i="2"/>
  <c r="R42" i="2" s="1"/>
  <c r="T42" i="2" s="1"/>
  <c r="U42" i="2"/>
  <c r="V42" i="2" s="1"/>
  <c r="W42" i="2"/>
  <c r="X42" i="2" s="1"/>
  <c r="L43" i="2"/>
  <c r="O43" i="2"/>
  <c r="P43" i="2" s="1"/>
  <c r="S43" i="2" s="1"/>
  <c r="Q43" i="2"/>
  <c r="R43" i="2" s="1"/>
  <c r="T43" i="2" s="1"/>
  <c r="U43" i="2"/>
  <c r="V43" i="2" s="1"/>
  <c r="W43" i="2"/>
  <c r="X43" i="2" s="1"/>
  <c r="L44" i="2"/>
  <c r="O44" i="2"/>
  <c r="P44" i="2" s="1"/>
  <c r="S44" i="2" s="1"/>
  <c r="Q44" i="2"/>
  <c r="R44" i="2" s="1"/>
  <c r="T44" i="2" s="1"/>
  <c r="U44" i="2"/>
  <c r="V44" i="2" s="1"/>
  <c r="W44" i="2"/>
  <c r="X44" i="2" s="1"/>
  <c r="L45" i="2"/>
  <c r="O45" i="2"/>
  <c r="P45" i="2" s="1"/>
  <c r="S45" i="2" s="1"/>
  <c r="Q45" i="2"/>
  <c r="R45" i="2" s="1"/>
  <c r="T45" i="2" s="1"/>
  <c r="U45" i="2"/>
  <c r="V45" i="2" s="1"/>
  <c r="W45" i="2"/>
  <c r="X45" i="2" s="1"/>
  <c r="L46" i="2"/>
  <c r="O46" i="2"/>
  <c r="P46" i="2" s="1"/>
  <c r="S46" i="2" s="1"/>
  <c r="Q46" i="2"/>
  <c r="R46" i="2" s="1"/>
  <c r="T46" i="2" s="1"/>
  <c r="U46" i="2"/>
  <c r="V46" i="2" s="1"/>
  <c r="W46" i="2"/>
  <c r="X46" i="2" s="1"/>
  <c r="L47" i="2"/>
  <c r="O47" i="2"/>
  <c r="P47" i="2" s="1"/>
  <c r="S47" i="2" s="1"/>
  <c r="Q47" i="2"/>
  <c r="R47" i="2" s="1"/>
  <c r="T47" i="2" s="1"/>
  <c r="U47" i="2"/>
  <c r="V47" i="2" s="1"/>
  <c r="W47" i="2"/>
  <c r="X47" i="2" s="1"/>
  <c r="L48" i="2"/>
  <c r="O48" i="2"/>
  <c r="P48" i="2" s="1"/>
  <c r="S48" i="2" s="1"/>
  <c r="Q48" i="2"/>
  <c r="R48" i="2" s="1"/>
  <c r="T48" i="2" s="1"/>
  <c r="U48" i="2"/>
  <c r="V48" i="2" s="1"/>
  <c r="W48" i="2"/>
  <c r="X48" i="2" s="1"/>
  <c r="L49" i="2"/>
  <c r="O49" i="2"/>
  <c r="P49" i="2" s="1"/>
  <c r="S49" i="2" s="1"/>
  <c r="Q49" i="2"/>
  <c r="R49" i="2" s="1"/>
  <c r="T49" i="2" s="1"/>
  <c r="U49" i="2"/>
  <c r="V49" i="2" s="1"/>
  <c r="W49" i="2"/>
  <c r="X49" i="2" s="1"/>
  <c r="L50" i="2"/>
  <c r="O50" i="2"/>
  <c r="P50" i="2" s="1"/>
  <c r="S50" i="2" s="1"/>
  <c r="Q50" i="2"/>
  <c r="R50" i="2" s="1"/>
  <c r="T50" i="2" s="1"/>
  <c r="U50" i="2"/>
  <c r="V50" i="2" s="1"/>
  <c r="W50" i="2"/>
  <c r="X50" i="2" s="1"/>
  <c r="L51" i="2"/>
  <c r="O51" i="2"/>
  <c r="P51" i="2" s="1"/>
  <c r="S51" i="2" s="1"/>
  <c r="Q51" i="2"/>
  <c r="R51" i="2" s="1"/>
  <c r="T51" i="2" s="1"/>
  <c r="U51" i="2"/>
  <c r="V51" i="2" s="1"/>
  <c r="W51" i="2"/>
  <c r="X51" i="2" s="1"/>
  <c r="L52" i="2"/>
  <c r="O52" i="2"/>
  <c r="P52" i="2" s="1"/>
  <c r="S52" i="2" s="1"/>
  <c r="Q52" i="2"/>
  <c r="R52" i="2" s="1"/>
  <c r="T52" i="2" s="1"/>
  <c r="U52" i="2"/>
  <c r="V52" i="2" s="1"/>
  <c r="W52" i="2"/>
  <c r="X52" i="2" s="1"/>
  <c r="L53" i="2"/>
  <c r="O53" i="2"/>
  <c r="P53" i="2" s="1"/>
  <c r="S53" i="2" s="1"/>
  <c r="Q53" i="2"/>
  <c r="R53" i="2" s="1"/>
  <c r="T53" i="2" s="1"/>
  <c r="U53" i="2"/>
  <c r="V53" i="2" s="1"/>
  <c r="W53" i="2"/>
  <c r="X53" i="2" s="1"/>
  <c r="L54" i="2"/>
  <c r="O54" i="2"/>
  <c r="P54" i="2" s="1"/>
  <c r="S54" i="2" s="1"/>
  <c r="Q54" i="2"/>
  <c r="R54" i="2" s="1"/>
  <c r="T54" i="2" s="1"/>
  <c r="U54" i="2"/>
  <c r="V54" i="2" s="1"/>
  <c r="W54" i="2"/>
  <c r="X54" i="2" s="1"/>
  <c r="L55" i="2"/>
  <c r="O55" i="2"/>
  <c r="P55" i="2" s="1"/>
  <c r="S55" i="2" s="1"/>
  <c r="Q55" i="2"/>
  <c r="R55" i="2" s="1"/>
  <c r="T55" i="2" s="1"/>
  <c r="U55" i="2"/>
  <c r="V55" i="2" s="1"/>
  <c r="W55" i="2"/>
  <c r="X55" i="2" s="1"/>
  <c r="L56" i="2"/>
  <c r="O56" i="2"/>
  <c r="P56" i="2" s="1"/>
  <c r="S56" i="2" s="1"/>
  <c r="Q56" i="2"/>
  <c r="R56" i="2" s="1"/>
  <c r="T56" i="2" s="1"/>
  <c r="U56" i="2"/>
  <c r="V56" i="2" s="1"/>
  <c r="W56" i="2"/>
  <c r="X56" i="2" s="1"/>
  <c r="L57" i="2"/>
  <c r="O57" i="2"/>
  <c r="P57" i="2" s="1"/>
  <c r="S57" i="2" s="1"/>
  <c r="Q57" i="2"/>
  <c r="R57" i="2" s="1"/>
  <c r="T57" i="2" s="1"/>
  <c r="U57" i="2"/>
  <c r="V57" i="2" s="1"/>
  <c r="W57" i="2"/>
  <c r="X57" i="2" s="1"/>
  <c r="L58" i="2"/>
  <c r="O58" i="2"/>
  <c r="P58" i="2" s="1"/>
  <c r="S58" i="2" s="1"/>
  <c r="Q58" i="2"/>
  <c r="R58" i="2" s="1"/>
  <c r="T58" i="2" s="1"/>
  <c r="U58" i="2"/>
  <c r="V58" i="2" s="1"/>
  <c r="W58" i="2"/>
  <c r="X58" i="2" s="1"/>
  <c r="L59" i="2"/>
  <c r="O59" i="2"/>
  <c r="P59" i="2" s="1"/>
  <c r="S59" i="2" s="1"/>
  <c r="Q59" i="2"/>
  <c r="R59" i="2" s="1"/>
  <c r="T59" i="2" s="1"/>
  <c r="U59" i="2"/>
  <c r="V59" i="2" s="1"/>
  <c r="W59" i="2"/>
  <c r="X59" i="2" s="1"/>
  <c r="L60" i="2"/>
  <c r="O60" i="2"/>
  <c r="P60" i="2" s="1"/>
  <c r="S60" i="2" s="1"/>
  <c r="Q60" i="2"/>
  <c r="R60" i="2" s="1"/>
  <c r="T60" i="2" s="1"/>
  <c r="U60" i="2"/>
  <c r="V60" i="2" s="1"/>
  <c r="W60" i="2"/>
  <c r="X60" i="2" s="1"/>
  <c r="L61" i="2"/>
  <c r="O61" i="2"/>
  <c r="P61" i="2" s="1"/>
  <c r="S61" i="2" s="1"/>
  <c r="Q61" i="2"/>
  <c r="R61" i="2" s="1"/>
  <c r="T61" i="2" s="1"/>
  <c r="U61" i="2"/>
  <c r="V61" i="2" s="1"/>
  <c r="W61" i="2"/>
  <c r="X61" i="2" s="1"/>
  <c r="L62" i="2"/>
  <c r="O62" i="2"/>
  <c r="P62" i="2" s="1"/>
  <c r="S62" i="2" s="1"/>
  <c r="Q62" i="2"/>
  <c r="R62" i="2" s="1"/>
  <c r="T62" i="2" s="1"/>
  <c r="U62" i="2"/>
  <c r="V62" i="2" s="1"/>
  <c r="W62" i="2"/>
  <c r="X62" i="2" s="1"/>
  <c r="L63" i="2"/>
  <c r="O63" i="2"/>
  <c r="P63" i="2" s="1"/>
  <c r="S63" i="2" s="1"/>
  <c r="Q63" i="2"/>
  <c r="R63" i="2" s="1"/>
  <c r="T63" i="2" s="1"/>
  <c r="U63" i="2"/>
  <c r="V63" i="2" s="1"/>
  <c r="W63" i="2"/>
  <c r="X63" i="2" s="1"/>
  <c r="L64" i="2"/>
  <c r="O64" i="2"/>
  <c r="P64" i="2" s="1"/>
  <c r="S64" i="2" s="1"/>
  <c r="Q64" i="2"/>
  <c r="R64" i="2" s="1"/>
  <c r="T64" i="2" s="1"/>
  <c r="U64" i="2"/>
  <c r="V64" i="2" s="1"/>
  <c r="W64" i="2"/>
  <c r="X64" i="2" s="1"/>
  <c r="L65" i="2"/>
  <c r="O65" i="2"/>
  <c r="P65" i="2" s="1"/>
  <c r="S65" i="2" s="1"/>
  <c r="Q65" i="2"/>
  <c r="R65" i="2" s="1"/>
  <c r="T65" i="2" s="1"/>
  <c r="U65" i="2"/>
  <c r="V65" i="2" s="1"/>
  <c r="W65" i="2"/>
  <c r="X65" i="2" s="1"/>
  <c r="L66" i="2"/>
  <c r="O66" i="2"/>
  <c r="P66" i="2" s="1"/>
  <c r="S66" i="2" s="1"/>
  <c r="Q66" i="2"/>
  <c r="R66" i="2" s="1"/>
  <c r="T66" i="2" s="1"/>
  <c r="U66" i="2"/>
  <c r="V66" i="2" s="1"/>
  <c r="W66" i="2"/>
  <c r="X66" i="2" s="1"/>
  <c r="L67" i="2"/>
  <c r="O67" i="2"/>
  <c r="P67" i="2" s="1"/>
  <c r="S67" i="2" s="1"/>
  <c r="Q67" i="2"/>
  <c r="R67" i="2" s="1"/>
  <c r="T67" i="2" s="1"/>
  <c r="U67" i="2"/>
  <c r="V67" i="2" s="1"/>
  <c r="W67" i="2"/>
  <c r="X67" i="2" s="1"/>
  <c r="L68" i="2"/>
  <c r="O68" i="2"/>
  <c r="P68" i="2" s="1"/>
  <c r="S68" i="2" s="1"/>
  <c r="Q68" i="2"/>
  <c r="R68" i="2" s="1"/>
  <c r="T68" i="2" s="1"/>
  <c r="U68" i="2"/>
  <c r="V68" i="2" s="1"/>
  <c r="W68" i="2"/>
  <c r="X68" i="2" s="1"/>
  <c r="L69" i="2"/>
  <c r="O69" i="2"/>
  <c r="P69" i="2" s="1"/>
  <c r="S69" i="2" s="1"/>
  <c r="Q69" i="2"/>
  <c r="R69" i="2" s="1"/>
  <c r="T69" i="2" s="1"/>
  <c r="U69" i="2"/>
  <c r="V69" i="2" s="1"/>
  <c r="W69" i="2"/>
  <c r="X69" i="2" s="1"/>
  <c r="L70" i="2"/>
  <c r="O70" i="2"/>
  <c r="P70" i="2" s="1"/>
  <c r="S70" i="2" s="1"/>
  <c r="Q70" i="2"/>
  <c r="R70" i="2" s="1"/>
  <c r="T70" i="2" s="1"/>
  <c r="U70" i="2"/>
  <c r="V70" i="2" s="1"/>
  <c r="W70" i="2"/>
  <c r="X70" i="2" s="1"/>
  <c r="L71" i="2"/>
  <c r="O71" i="2"/>
  <c r="P71" i="2" s="1"/>
  <c r="S71" i="2" s="1"/>
  <c r="Q71" i="2"/>
  <c r="R71" i="2" s="1"/>
  <c r="T71" i="2" s="1"/>
  <c r="U71" i="2"/>
  <c r="V71" i="2" s="1"/>
  <c r="W71" i="2"/>
  <c r="X71" i="2" s="1"/>
  <c r="L72" i="2"/>
  <c r="O72" i="2"/>
  <c r="P72" i="2" s="1"/>
  <c r="S72" i="2" s="1"/>
  <c r="Q72" i="2"/>
  <c r="R72" i="2" s="1"/>
  <c r="T72" i="2" s="1"/>
  <c r="U72" i="2"/>
  <c r="V72" i="2" s="1"/>
  <c r="W72" i="2"/>
  <c r="X72" i="2" s="1"/>
  <c r="L73" i="2"/>
  <c r="O73" i="2"/>
  <c r="P73" i="2" s="1"/>
  <c r="S73" i="2" s="1"/>
  <c r="Q73" i="2"/>
  <c r="R73" i="2" s="1"/>
  <c r="T73" i="2" s="1"/>
  <c r="U73" i="2"/>
  <c r="V73" i="2" s="1"/>
  <c r="W73" i="2"/>
  <c r="X73" i="2" s="1"/>
  <c r="L74" i="2"/>
  <c r="O74" i="2"/>
  <c r="P74" i="2" s="1"/>
  <c r="S74" i="2" s="1"/>
  <c r="Q74" i="2"/>
  <c r="R74" i="2" s="1"/>
  <c r="T74" i="2" s="1"/>
  <c r="U74" i="2"/>
  <c r="V74" i="2" s="1"/>
  <c r="W74" i="2"/>
  <c r="X74" i="2" s="1"/>
  <c r="L75" i="2"/>
  <c r="O75" i="2"/>
  <c r="P75" i="2" s="1"/>
  <c r="S75" i="2" s="1"/>
  <c r="Q75" i="2"/>
  <c r="R75" i="2" s="1"/>
  <c r="T75" i="2" s="1"/>
  <c r="U75" i="2"/>
  <c r="V75" i="2" s="1"/>
  <c r="W75" i="2"/>
  <c r="X75" i="2" s="1"/>
  <c r="L76" i="2"/>
  <c r="O76" i="2"/>
  <c r="P76" i="2" s="1"/>
  <c r="S76" i="2" s="1"/>
  <c r="Q76" i="2"/>
  <c r="R76" i="2" s="1"/>
  <c r="T76" i="2" s="1"/>
  <c r="U76" i="2"/>
  <c r="V76" i="2" s="1"/>
  <c r="W76" i="2"/>
  <c r="X76" i="2" s="1"/>
  <c r="L77" i="2"/>
  <c r="O77" i="2"/>
  <c r="P77" i="2" s="1"/>
  <c r="S77" i="2" s="1"/>
  <c r="Q77" i="2"/>
  <c r="R77" i="2" s="1"/>
  <c r="T77" i="2" s="1"/>
  <c r="U77" i="2"/>
  <c r="V77" i="2" s="1"/>
  <c r="W77" i="2"/>
  <c r="X77" i="2" s="1"/>
  <c r="L78" i="2"/>
  <c r="O78" i="2"/>
  <c r="P78" i="2" s="1"/>
  <c r="S78" i="2" s="1"/>
  <c r="Q78" i="2"/>
  <c r="R78" i="2" s="1"/>
  <c r="T78" i="2" s="1"/>
  <c r="U78" i="2"/>
  <c r="V78" i="2" s="1"/>
  <c r="W78" i="2"/>
  <c r="X78" i="2" s="1"/>
  <c r="L79" i="2"/>
  <c r="O79" i="2"/>
  <c r="P79" i="2" s="1"/>
  <c r="S79" i="2" s="1"/>
  <c r="Q79" i="2"/>
  <c r="R79" i="2" s="1"/>
  <c r="T79" i="2" s="1"/>
  <c r="U79" i="2"/>
  <c r="V79" i="2" s="1"/>
  <c r="W79" i="2"/>
  <c r="X79" i="2" s="1"/>
  <c r="L80" i="2"/>
  <c r="O80" i="2"/>
  <c r="P80" i="2" s="1"/>
  <c r="S80" i="2" s="1"/>
  <c r="Q80" i="2"/>
  <c r="R80" i="2" s="1"/>
  <c r="T80" i="2" s="1"/>
  <c r="U80" i="2"/>
  <c r="V80" i="2" s="1"/>
  <c r="W80" i="2"/>
  <c r="X80" i="2" s="1"/>
  <c r="L81" i="2"/>
  <c r="O81" i="2"/>
  <c r="P81" i="2" s="1"/>
  <c r="S81" i="2" s="1"/>
  <c r="Q81" i="2"/>
  <c r="R81" i="2" s="1"/>
  <c r="T81" i="2" s="1"/>
  <c r="U81" i="2"/>
  <c r="V81" i="2" s="1"/>
  <c r="W81" i="2"/>
  <c r="X81" i="2" s="1"/>
  <c r="L82" i="2"/>
  <c r="O82" i="2"/>
  <c r="P82" i="2" s="1"/>
  <c r="S82" i="2" s="1"/>
  <c r="Q82" i="2"/>
  <c r="R82" i="2" s="1"/>
  <c r="T82" i="2" s="1"/>
  <c r="U82" i="2"/>
  <c r="V82" i="2" s="1"/>
  <c r="W82" i="2"/>
  <c r="X82" i="2" s="1"/>
  <c r="L83" i="2"/>
  <c r="O83" i="2"/>
  <c r="P83" i="2" s="1"/>
  <c r="S83" i="2" s="1"/>
  <c r="Q83" i="2"/>
  <c r="R83" i="2" s="1"/>
  <c r="T83" i="2" s="1"/>
  <c r="U83" i="2"/>
  <c r="V83" i="2" s="1"/>
  <c r="W83" i="2"/>
  <c r="X83" i="2" s="1"/>
  <c r="L84" i="2"/>
  <c r="O84" i="2"/>
  <c r="P84" i="2" s="1"/>
  <c r="S84" i="2" s="1"/>
  <c r="Q84" i="2"/>
  <c r="R84" i="2" s="1"/>
  <c r="T84" i="2" s="1"/>
  <c r="U84" i="2"/>
  <c r="V84" i="2" s="1"/>
  <c r="W84" i="2"/>
  <c r="X84" i="2" s="1"/>
  <c r="L85" i="2"/>
  <c r="O85" i="2"/>
  <c r="P85" i="2" s="1"/>
  <c r="S85" i="2" s="1"/>
  <c r="Q85" i="2"/>
  <c r="R85" i="2" s="1"/>
  <c r="T85" i="2" s="1"/>
  <c r="U85" i="2"/>
  <c r="V85" i="2" s="1"/>
  <c r="W85" i="2"/>
  <c r="X85" i="2" s="1"/>
  <c r="L86" i="2"/>
  <c r="O86" i="2"/>
  <c r="P86" i="2" s="1"/>
  <c r="S86" i="2" s="1"/>
  <c r="Q86" i="2"/>
  <c r="R86" i="2" s="1"/>
  <c r="T86" i="2" s="1"/>
  <c r="U86" i="2"/>
  <c r="V86" i="2" s="1"/>
  <c r="W86" i="2"/>
  <c r="X86" i="2" s="1"/>
  <c r="L87" i="2"/>
  <c r="O87" i="2"/>
  <c r="P87" i="2" s="1"/>
  <c r="S87" i="2" s="1"/>
  <c r="Q87" i="2"/>
  <c r="R87" i="2" s="1"/>
  <c r="T87" i="2" s="1"/>
  <c r="U87" i="2"/>
  <c r="V87" i="2" s="1"/>
  <c r="W87" i="2"/>
  <c r="X87" i="2" s="1"/>
  <c r="L88" i="2"/>
  <c r="O88" i="2"/>
  <c r="P88" i="2" s="1"/>
  <c r="S88" i="2" s="1"/>
  <c r="Q88" i="2"/>
  <c r="R88" i="2" s="1"/>
  <c r="T88" i="2" s="1"/>
  <c r="U88" i="2"/>
  <c r="V88" i="2" s="1"/>
  <c r="W88" i="2"/>
  <c r="X88" i="2" s="1"/>
  <c r="L89" i="2"/>
  <c r="O89" i="2"/>
  <c r="P89" i="2" s="1"/>
  <c r="S89" i="2" s="1"/>
  <c r="Q89" i="2"/>
  <c r="R89" i="2" s="1"/>
  <c r="T89" i="2" s="1"/>
  <c r="U89" i="2"/>
  <c r="V89" i="2" s="1"/>
  <c r="W89" i="2"/>
  <c r="X89" i="2" s="1"/>
  <c r="L90" i="2"/>
  <c r="O90" i="2"/>
  <c r="P90" i="2" s="1"/>
  <c r="S90" i="2" s="1"/>
  <c r="Q90" i="2"/>
  <c r="R90" i="2" s="1"/>
  <c r="T90" i="2" s="1"/>
  <c r="U90" i="2"/>
  <c r="V90" i="2" s="1"/>
  <c r="W90" i="2"/>
  <c r="X90" i="2" s="1"/>
  <c r="L91" i="2"/>
  <c r="O91" i="2"/>
  <c r="P91" i="2" s="1"/>
  <c r="S91" i="2" s="1"/>
  <c r="Q91" i="2"/>
  <c r="R91" i="2" s="1"/>
  <c r="T91" i="2" s="1"/>
  <c r="U91" i="2"/>
  <c r="V91" i="2" s="1"/>
  <c r="W91" i="2"/>
  <c r="X91" i="2" s="1"/>
  <c r="L92" i="2"/>
  <c r="O92" i="2"/>
  <c r="P92" i="2" s="1"/>
  <c r="S92" i="2" s="1"/>
  <c r="Q92" i="2"/>
  <c r="R92" i="2" s="1"/>
  <c r="T92" i="2" s="1"/>
  <c r="U92" i="2"/>
  <c r="V92" i="2" s="1"/>
  <c r="W92" i="2"/>
  <c r="X92" i="2" s="1"/>
  <c r="L93" i="2"/>
  <c r="O93" i="2"/>
  <c r="P93" i="2" s="1"/>
  <c r="S93" i="2" s="1"/>
  <c r="Q93" i="2"/>
  <c r="R93" i="2" s="1"/>
  <c r="T93" i="2" s="1"/>
  <c r="U93" i="2"/>
  <c r="V93" i="2" s="1"/>
  <c r="W93" i="2"/>
  <c r="X93" i="2" s="1"/>
  <c r="L94" i="2"/>
  <c r="O94" i="2"/>
  <c r="P94" i="2" s="1"/>
  <c r="S94" i="2" s="1"/>
  <c r="Q94" i="2"/>
  <c r="R94" i="2" s="1"/>
  <c r="T94" i="2" s="1"/>
  <c r="U94" i="2"/>
  <c r="V94" i="2" s="1"/>
  <c r="W94" i="2"/>
  <c r="X94" i="2" s="1"/>
  <c r="L95" i="2"/>
  <c r="O95" i="2"/>
  <c r="P95" i="2" s="1"/>
  <c r="S95" i="2" s="1"/>
  <c r="Q95" i="2"/>
  <c r="R95" i="2" s="1"/>
  <c r="T95" i="2" s="1"/>
  <c r="U95" i="2"/>
  <c r="V95" i="2" s="1"/>
  <c r="W95" i="2"/>
  <c r="X95" i="2" s="1"/>
  <c r="L96" i="2"/>
  <c r="O96" i="2"/>
  <c r="P96" i="2" s="1"/>
  <c r="S96" i="2" s="1"/>
  <c r="Q96" i="2"/>
  <c r="R96" i="2" s="1"/>
  <c r="T96" i="2" s="1"/>
  <c r="U96" i="2"/>
  <c r="V96" i="2" s="1"/>
  <c r="W96" i="2"/>
  <c r="X96" i="2" s="1"/>
  <c r="L97" i="2"/>
  <c r="O97" i="2"/>
  <c r="P97" i="2" s="1"/>
  <c r="S97" i="2" s="1"/>
  <c r="Q97" i="2"/>
  <c r="R97" i="2" s="1"/>
  <c r="T97" i="2" s="1"/>
  <c r="U97" i="2"/>
  <c r="V97" i="2" s="1"/>
  <c r="W97" i="2"/>
  <c r="X97" i="2" s="1"/>
  <c r="L98" i="2"/>
  <c r="O98" i="2"/>
  <c r="P98" i="2" s="1"/>
  <c r="S98" i="2" s="1"/>
  <c r="Q98" i="2"/>
  <c r="R98" i="2" s="1"/>
  <c r="T98" i="2" s="1"/>
  <c r="U98" i="2"/>
  <c r="V98" i="2" s="1"/>
  <c r="W98" i="2"/>
  <c r="X98" i="2" s="1"/>
  <c r="L99" i="2"/>
  <c r="O99" i="2"/>
  <c r="P99" i="2" s="1"/>
  <c r="S99" i="2" s="1"/>
  <c r="Q99" i="2"/>
  <c r="R99" i="2" s="1"/>
  <c r="T99" i="2" s="1"/>
  <c r="U99" i="2"/>
  <c r="V99" i="2" s="1"/>
  <c r="W99" i="2"/>
  <c r="X99" i="2" s="1"/>
  <c r="L100" i="2"/>
  <c r="O100" i="2"/>
  <c r="P100" i="2" s="1"/>
  <c r="S100" i="2" s="1"/>
  <c r="Q100" i="2"/>
  <c r="R100" i="2" s="1"/>
  <c r="T100" i="2" s="1"/>
  <c r="U100" i="2"/>
  <c r="V100" i="2" s="1"/>
  <c r="W100" i="2"/>
  <c r="X100" i="2" s="1"/>
  <c r="L101" i="2"/>
  <c r="O101" i="2"/>
  <c r="P101" i="2" s="1"/>
  <c r="S101" i="2" s="1"/>
  <c r="Q101" i="2"/>
  <c r="R101" i="2" s="1"/>
  <c r="T101" i="2" s="1"/>
  <c r="U101" i="2"/>
  <c r="V101" i="2" s="1"/>
  <c r="W101" i="2"/>
  <c r="X101" i="2" s="1"/>
  <c r="L102" i="2"/>
  <c r="O102" i="2"/>
  <c r="P102" i="2" s="1"/>
  <c r="S102" i="2" s="1"/>
  <c r="Q102" i="2"/>
  <c r="R102" i="2" s="1"/>
  <c r="T102" i="2" s="1"/>
  <c r="U102" i="2"/>
  <c r="V102" i="2" s="1"/>
  <c r="W102" i="2"/>
  <c r="X102" i="2" s="1"/>
  <c r="L103" i="2"/>
  <c r="O103" i="2"/>
  <c r="P103" i="2" s="1"/>
  <c r="S103" i="2" s="1"/>
  <c r="Q103" i="2"/>
  <c r="R103" i="2" s="1"/>
  <c r="T103" i="2" s="1"/>
  <c r="U103" i="2"/>
  <c r="V103" i="2" s="1"/>
  <c r="W103" i="2"/>
  <c r="X103" i="2" s="1"/>
  <c r="L104" i="2"/>
  <c r="O104" i="2"/>
  <c r="P104" i="2" s="1"/>
  <c r="S104" i="2" s="1"/>
  <c r="Q104" i="2"/>
  <c r="R104" i="2" s="1"/>
  <c r="T104" i="2" s="1"/>
  <c r="U104" i="2"/>
  <c r="V104" i="2" s="1"/>
  <c r="W104" i="2"/>
  <c r="X104" i="2" s="1"/>
  <c r="L105" i="2"/>
  <c r="O105" i="2"/>
  <c r="P105" i="2" s="1"/>
  <c r="S105" i="2" s="1"/>
  <c r="Q105" i="2"/>
  <c r="R105" i="2" s="1"/>
  <c r="T105" i="2" s="1"/>
  <c r="U105" i="2"/>
  <c r="V105" i="2" s="1"/>
  <c r="W105" i="2"/>
  <c r="X105" i="2" s="1"/>
  <c r="L106" i="2"/>
  <c r="O106" i="2"/>
  <c r="P106" i="2" s="1"/>
  <c r="S106" i="2" s="1"/>
  <c r="Q106" i="2"/>
  <c r="R106" i="2" s="1"/>
  <c r="T106" i="2" s="1"/>
  <c r="U106" i="2"/>
  <c r="V106" i="2" s="1"/>
  <c r="W106" i="2"/>
  <c r="X106" i="2" s="1"/>
  <c r="L107" i="2"/>
  <c r="O107" i="2"/>
  <c r="P107" i="2" s="1"/>
  <c r="S107" i="2" s="1"/>
  <c r="Q107" i="2"/>
  <c r="R107" i="2" s="1"/>
  <c r="T107" i="2" s="1"/>
  <c r="U107" i="2"/>
  <c r="V107" i="2" s="1"/>
  <c r="W107" i="2"/>
  <c r="X107" i="2" s="1"/>
  <c r="L108" i="2"/>
  <c r="O108" i="2"/>
  <c r="P108" i="2" s="1"/>
  <c r="S108" i="2" s="1"/>
  <c r="Q108" i="2"/>
  <c r="R108" i="2" s="1"/>
  <c r="T108" i="2" s="1"/>
  <c r="U108" i="2"/>
  <c r="V108" i="2" s="1"/>
  <c r="W108" i="2"/>
  <c r="X108" i="2" s="1"/>
  <c r="L109" i="2"/>
  <c r="O109" i="2"/>
  <c r="P109" i="2" s="1"/>
  <c r="S109" i="2" s="1"/>
  <c r="Q109" i="2"/>
  <c r="R109" i="2" s="1"/>
  <c r="T109" i="2" s="1"/>
  <c r="U109" i="2"/>
  <c r="V109" i="2" s="1"/>
  <c r="W109" i="2"/>
  <c r="X109" i="2" s="1"/>
  <c r="L110" i="2"/>
  <c r="O110" i="2"/>
  <c r="P110" i="2" s="1"/>
  <c r="S110" i="2" s="1"/>
  <c r="Q110" i="2"/>
  <c r="R110" i="2" s="1"/>
  <c r="T110" i="2" s="1"/>
  <c r="U110" i="2"/>
  <c r="V110" i="2" s="1"/>
  <c r="W110" i="2"/>
  <c r="X110" i="2" s="1"/>
  <c r="L111" i="2"/>
  <c r="O111" i="2"/>
  <c r="P111" i="2" s="1"/>
  <c r="S111" i="2" s="1"/>
  <c r="Q111" i="2"/>
  <c r="R111" i="2" s="1"/>
  <c r="T111" i="2" s="1"/>
  <c r="U111" i="2"/>
  <c r="V111" i="2" s="1"/>
  <c r="W111" i="2"/>
  <c r="X111" i="2" s="1"/>
  <c r="L112" i="2"/>
  <c r="O112" i="2"/>
  <c r="P112" i="2" s="1"/>
  <c r="S112" i="2" s="1"/>
  <c r="Q112" i="2"/>
  <c r="R112" i="2" s="1"/>
  <c r="T112" i="2" s="1"/>
  <c r="U112" i="2"/>
  <c r="V112" i="2" s="1"/>
  <c r="W112" i="2"/>
  <c r="X112" i="2" s="1"/>
  <c r="L113" i="2"/>
  <c r="O113" i="2"/>
  <c r="P113" i="2" s="1"/>
  <c r="S113" i="2" s="1"/>
  <c r="Q113" i="2"/>
  <c r="R113" i="2" s="1"/>
  <c r="T113" i="2" s="1"/>
  <c r="U113" i="2"/>
  <c r="V113" i="2" s="1"/>
  <c r="W113" i="2"/>
  <c r="X113" i="2" s="1"/>
  <c r="L114" i="2"/>
  <c r="O114" i="2"/>
  <c r="P114" i="2" s="1"/>
  <c r="S114" i="2" s="1"/>
  <c r="Q114" i="2"/>
  <c r="R114" i="2" s="1"/>
  <c r="T114" i="2" s="1"/>
  <c r="U114" i="2"/>
  <c r="V114" i="2" s="1"/>
  <c r="W114" i="2"/>
  <c r="X114" i="2" s="1"/>
  <c r="L115" i="2"/>
  <c r="O115" i="2"/>
  <c r="P115" i="2" s="1"/>
  <c r="S115" i="2" s="1"/>
  <c r="Q115" i="2"/>
  <c r="R115" i="2" s="1"/>
  <c r="T115" i="2" s="1"/>
  <c r="U115" i="2"/>
  <c r="V115" i="2" s="1"/>
  <c r="W115" i="2"/>
  <c r="X115" i="2" s="1"/>
  <c r="L116" i="2"/>
  <c r="O116" i="2"/>
  <c r="P116" i="2" s="1"/>
  <c r="S116" i="2" s="1"/>
  <c r="Q116" i="2"/>
  <c r="R116" i="2" s="1"/>
  <c r="T116" i="2" s="1"/>
  <c r="U116" i="2"/>
  <c r="V116" i="2" s="1"/>
  <c r="W116" i="2"/>
  <c r="X116" i="2" s="1"/>
  <c r="L117" i="2"/>
  <c r="O117" i="2"/>
  <c r="P117" i="2" s="1"/>
  <c r="S117" i="2" s="1"/>
  <c r="Q117" i="2"/>
  <c r="R117" i="2" s="1"/>
  <c r="T117" i="2" s="1"/>
  <c r="U117" i="2"/>
  <c r="V117" i="2" s="1"/>
  <c r="W117" i="2"/>
  <c r="X117" i="2" s="1"/>
  <c r="L118" i="2"/>
  <c r="O118" i="2"/>
  <c r="P118" i="2" s="1"/>
  <c r="S118" i="2" s="1"/>
  <c r="Q118" i="2"/>
  <c r="R118" i="2" s="1"/>
  <c r="T118" i="2" s="1"/>
  <c r="U118" i="2"/>
  <c r="V118" i="2" s="1"/>
  <c r="W118" i="2"/>
  <c r="X118" i="2" s="1"/>
  <c r="L119" i="2"/>
  <c r="O119" i="2"/>
  <c r="P119" i="2" s="1"/>
  <c r="S119" i="2" s="1"/>
  <c r="Q119" i="2"/>
  <c r="R119" i="2" s="1"/>
  <c r="T119" i="2" s="1"/>
  <c r="U119" i="2"/>
  <c r="V119" i="2" s="1"/>
  <c r="W119" i="2"/>
  <c r="X119" i="2" s="1"/>
  <c r="L120" i="2"/>
  <c r="O120" i="2"/>
  <c r="P120" i="2" s="1"/>
  <c r="S120" i="2" s="1"/>
  <c r="Q120" i="2"/>
  <c r="R120" i="2" s="1"/>
  <c r="T120" i="2" s="1"/>
  <c r="U120" i="2"/>
  <c r="V120" i="2" s="1"/>
  <c r="W120" i="2"/>
  <c r="X120" i="2" s="1"/>
  <c r="L121" i="2"/>
  <c r="O121" i="2"/>
  <c r="P121" i="2" s="1"/>
  <c r="S121" i="2" s="1"/>
  <c r="Q121" i="2"/>
  <c r="R121" i="2" s="1"/>
  <c r="T121" i="2" s="1"/>
  <c r="U121" i="2"/>
  <c r="V121" i="2" s="1"/>
  <c r="W121" i="2"/>
  <c r="X121" i="2" s="1"/>
  <c r="L122" i="2"/>
  <c r="O122" i="2"/>
  <c r="P122" i="2" s="1"/>
  <c r="S122" i="2" s="1"/>
  <c r="Q122" i="2"/>
  <c r="R122" i="2" s="1"/>
  <c r="T122" i="2" s="1"/>
  <c r="U122" i="2"/>
  <c r="V122" i="2" s="1"/>
  <c r="W122" i="2"/>
  <c r="X122" i="2" s="1"/>
  <c r="L123" i="2"/>
  <c r="O123" i="2"/>
  <c r="P123" i="2" s="1"/>
  <c r="S123" i="2" s="1"/>
  <c r="Q123" i="2"/>
  <c r="R123" i="2" s="1"/>
  <c r="T123" i="2" s="1"/>
  <c r="U123" i="2"/>
  <c r="V123" i="2" s="1"/>
  <c r="W123" i="2"/>
  <c r="X123" i="2" s="1"/>
  <c r="L124" i="2"/>
  <c r="O124" i="2"/>
  <c r="P124" i="2" s="1"/>
  <c r="S124" i="2" s="1"/>
  <c r="Q124" i="2"/>
  <c r="R124" i="2" s="1"/>
  <c r="T124" i="2" s="1"/>
  <c r="U124" i="2"/>
  <c r="V124" i="2" s="1"/>
  <c r="W124" i="2"/>
  <c r="X124" i="2" s="1"/>
  <c r="L125" i="2"/>
  <c r="O125" i="2"/>
  <c r="P125" i="2" s="1"/>
  <c r="S125" i="2" s="1"/>
  <c r="Q125" i="2"/>
  <c r="R125" i="2" s="1"/>
  <c r="T125" i="2" s="1"/>
  <c r="U125" i="2"/>
  <c r="V125" i="2" s="1"/>
  <c r="W125" i="2"/>
  <c r="X125" i="2" s="1"/>
  <c r="L126" i="2"/>
  <c r="O126" i="2"/>
  <c r="P126" i="2" s="1"/>
  <c r="S126" i="2" s="1"/>
  <c r="Q126" i="2"/>
  <c r="R126" i="2" s="1"/>
  <c r="T126" i="2" s="1"/>
  <c r="U126" i="2"/>
  <c r="V126" i="2" s="1"/>
  <c r="W126" i="2"/>
  <c r="X126" i="2" s="1"/>
  <c r="L127" i="2"/>
  <c r="O127" i="2"/>
  <c r="P127" i="2" s="1"/>
  <c r="S127" i="2" s="1"/>
  <c r="Q127" i="2"/>
  <c r="R127" i="2" s="1"/>
  <c r="T127" i="2" s="1"/>
  <c r="U127" i="2"/>
  <c r="V127" i="2" s="1"/>
  <c r="W127" i="2"/>
  <c r="X127" i="2" s="1"/>
  <c r="L128" i="2"/>
  <c r="O128" i="2"/>
  <c r="P128" i="2" s="1"/>
  <c r="S128" i="2" s="1"/>
  <c r="Q128" i="2"/>
  <c r="R128" i="2" s="1"/>
  <c r="T128" i="2" s="1"/>
  <c r="U128" i="2"/>
  <c r="V128" i="2" s="1"/>
  <c r="W128" i="2"/>
  <c r="X128" i="2" s="1"/>
  <c r="L129" i="2"/>
  <c r="O129" i="2"/>
  <c r="P129" i="2" s="1"/>
  <c r="S129" i="2" s="1"/>
  <c r="Q129" i="2"/>
  <c r="R129" i="2" s="1"/>
  <c r="T129" i="2" s="1"/>
  <c r="U129" i="2"/>
  <c r="V129" i="2" s="1"/>
  <c r="W129" i="2"/>
  <c r="X129" i="2" s="1"/>
  <c r="L130" i="2"/>
  <c r="O130" i="2"/>
  <c r="P130" i="2" s="1"/>
  <c r="S130" i="2" s="1"/>
  <c r="Q130" i="2"/>
  <c r="R130" i="2" s="1"/>
  <c r="T130" i="2" s="1"/>
  <c r="U130" i="2"/>
  <c r="V130" i="2" s="1"/>
  <c r="W130" i="2"/>
  <c r="X130" i="2" s="1"/>
  <c r="L131" i="2"/>
  <c r="O131" i="2"/>
  <c r="P131" i="2" s="1"/>
  <c r="S131" i="2" s="1"/>
  <c r="Q131" i="2"/>
  <c r="R131" i="2" s="1"/>
  <c r="T131" i="2" s="1"/>
  <c r="U131" i="2"/>
  <c r="V131" i="2" s="1"/>
  <c r="W131" i="2"/>
  <c r="X131" i="2" s="1"/>
  <c r="L132" i="2"/>
  <c r="O132" i="2"/>
  <c r="P132" i="2" s="1"/>
  <c r="S132" i="2" s="1"/>
  <c r="Q132" i="2"/>
  <c r="R132" i="2" s="1"/>
  <c r="T132" i="2" s="1"/>
  <c r="U132" i="2"/>
  <c r="V132" i="2" s="1"/>
  <c r="W132" i="2"/>
  <c r="X132" i="2" s="1"/>
  <c r="L133" i="2"/>
  <c r="O133" i="2"/>
  <c r="P133" i="2" s="1"/>
  <c r="S133" i="2" s="1"/>
  <c r="Q133" i="2"/>
  <c r="R133" i="2" s="1"/>
  <c r="T133" i="2" s="1"/>
  <c r="U133" i="2"/>
  <c r="V133" i="2" s="1"/>
  <c r="W133" i="2"/>
  <c r="X133" i="2" s="1"/>
  <c r="L134" i="2"/>
  <c r="O134" i="2"/>
  <c r="P134" i="2" s="1"/>
  <c r="S134" i="2" s="1"/>
  <c r="Q134" i="2"/>
  <c r="R134" i="2" s="1"/>
  <c r="T134" i="2" s="1"/>
  <c r="U134" i="2"/>
  <c r="V134" i="2" s="1"/>
  <c r="W134" i="2"/>
  <c r="X134" i="2" s="1"/>
  <c r="L135" i="2"/>
  <c r="O135" i="2"/>
  <c r="P135" i="2" s="1"/>
  <c r="S135" i="2" s="1"/>
  <c r="Q135" i="2"/>
  <c r="R135" i="2" s="1"/>
  <c r="T135" i="2" s="1"/>
  <c r="U135" i="2"/>
  <c r="V135" i="2" s="1"/>
  <c r="W135" i="2"/>
  <c r="X135" i="2" s="1"/>
  <c r="L136" i="2"/>
  <c r="O136" i="2"/>
  <c r="P136" i="2" s="1"/>
  <c r="S136" i="2" s="1"/>
  <c r="Q136" i="2"/>
  <c r="R136" i="2" s="1"/>
  <c r="T136" i="2" s="1"/>
  <c r="U136" i="2"/>
  <c r="V136" i="2" s="1"/>
  <c r="W136" i="2"/>
  <c r="X136" i="2" s="1"/>
  <c r="L137" i="2"/>
  <c r="O137" i="2"/>
  <c r="P137" i="2" s="1"/>
  <c r="S137" i="2" s="1"/>
  <c r="Q137" i="2"/>
  <c r="R137" i="2" s="1"/>
  <c r="T137" i="2" s="1"/>
  <c r="U137" i="2"/>
  <c r="V137" i="2" s="1"/>
  <c r="W137" i="2"/>
  <c r="X137" i="2" s="1"/>
  <c r="L138" i="2"/>
  <c r="O138" i="2"/>
  <c r="P138" i="2" s="1"/>
  <c r="S138" i="2" s="1"/>
  <c r="Q138" i="2"/>
  <c r="R138" i="2" s="1"/>
  <c r="T138" i="2" s="1"/>
  <c r="U138" i="2"/>
  <c r="V138" i="2" s="1"/>
  <c r="W138" i="2"/>
  <c r="X138" i="2" s="1"/>
  <c r="L139" i="2"/>
  <c r="O139" i="2"/>
  <c r="P139" i="2" s="1"/>
  <c r="S139" i="2" s="1"/>
  <c r="Q139" i="2"/>
  <c r="R139" i="2" s="1"/>
  <c r="T139" i="2" s="1"/>
  <c r="U139" i="2"/>
  <c r="V139" i="2" s="1"/>
  <c r="W139" i="2"/>
  <c r="X139" i="2" s="1"/>
  <c r="L140" i="2"/>
  <c r="O140" i="2"/>
  <c r="P140" i="2" s="1"/>
  <c r="S140" i="2" s="1"/>
  <c r="Q140" i="2"/>
  <c r="R140" i="2" s="1"/>
  <c r="T140" i="2" s="1"/>
  <c r="U140" i="2"/>
  <c r="V140" i="2" s="1"/>
  <c r="W140" i="2"/>
  <c r="X140" i="2" s="1"/>
  <c r="L141" i="2"/>
  <c r="O141" i="2"/>
  <c r="P141" i="2" s="1"/>
  <c r="S141" i="2" s="1"/>
  <c r="Q141" i="2"/>
  <c r="R141" i="2" s="1"/>
  <c r="T141" i="2" s="1"/>
  <c r="U141" i="2"/>
  <c r="V141" i="2" s="1"/>
  <c r="W141" i="2"/>
  <c r="X141" i="2" s="1"/>
  <c r="L142" i="2"/>
  <c r="O142" i="2"/>
  <c r="P142" i="2" s="1"/>
  <c r="S142" i="2" s="1"/>
  <c r="Q142" i="2"/>
  <c r="R142" i="2" s="1"/>
  <c r="T142" i="2" s="1"/>
  <c r="U142" i="2"/>
  <c r="V142" i="2" s="1"/>
  <c r="W142" i="2"/>
  <c r="X142" i="2" s="1"/>
  <c r="L143" i="2"/>
  <c r="O143" i="2"/>
  <c r="P143" i="2" s="1"/>
  <c r="S143" i="2" s="1"/>
  <c r="Q143" i="2"/>
  <c r="R143" i="2" s="1"/>
  <c r="T143" i="2" s="1"/>
  <c r="U143" i="2"/>
  <c r="V143" i="2" s="1"/>
  <c r="W143" i="2"/>
  <c r="X143" i="2" s="1"/>
  <c r="L144" i="2"/>
  <c r="O144" i="2"/>
  <c r="P144" i="2" s="1"/>
  <c r="S144" i="2" s="1"/>
  <c r="Q144" i="2"/>
  <c r="R144" i="2" s="1"/>
  <c r="T144" i="2" s="1"/>
  <c r="U144" i="2"/>
  <c r="V144" i="2" s="1"/>
  <c r="W144" i="2"/>
  <c r="X144" i="2" s="1"/>
  <c r="L145" i="2"/>
  <c r="O145" i="2"/>
  <c r="P145" i="2" s="1"/>
  <c r="S145" i="2" s="1"/>
  <c r="Q145" i="2"/>
  <c r="R145" i="2" s="1"/>
  <c r="T145" i="2" s="1"/>
  <c r="U145" i="2"/>
  <c r="V145" i="2" s="1"/>
  <c r="W145" i="2"/>
  <c r="X145" i="2" s="1"/>
  <c r="L146" i="2"/>
  <c r="O146" i="2"/>
  <c r="P146" i="2" s="1"/>
  <c r="S146" i="2" s="1"/>
  <c r="Q146" i="2"/>
  <c r="R146" i="2" s="1"/>
  <c r="T146" i="2" s="1"/>
  <c r="U146" i="2"/>
  <c r="V146" i="2" s="1"/>
  <c r="W146" i="2"/>
  <c r="X146" i="2" s="1"/>
  <c r="L147" i="2"/>
  <c r="O147" i="2"/>
  <c r="P147" i="2" s="1"/>
  <c r="S147" i="2" s="1"/>
  <c r="Q147" i="2"/>
  <c r="R147" i="2" s="1"/>
  <c r="T147" i="2" s="1"/>
  <c r="U147" i="2"/>
  <c r="V147" i="2" s="1"/>
  <c r="W147" i="2"/>
  <c r="X147" i="2" s="1"/>
  <c r="L148" i="2"/>
  <c r="O148" i="2"/>
  <c r="P148" i="2" s="1"/>
  <c r="S148" i="2" s="1"/>
  <c r="Q148" i="2"/>
  <c r="R148" i="2" s="1"/>
  <c r="T148" i="2" s="1"/>
  <c r="U148" i="2"/>
  <c r="V148" i="2" s="1"/>
  <c r="W148" i="2"/>
  <c r="X148" i="2" s="1"/>
  <c r="L149" i="2"/>
  <c r="O149" i="2"/>
  <c r="P149" i="2" s="1"/>
  <c r="S149" i="2" s="1"/>
  <c r="Q149" i="2"/>
  <c r="R149" i="2" s="1"/>
  <c r="T149" i="2" s="1"/>
  <c r="U149" i="2"/>
  <c r="V149" i="2" s="1"/>
  <c r="W149" i="2"/>
  <c r="X149" i="2" s="1"/>
  <c r="L150" i="2"/>
  <c r="O150" i="2"/>
  <c r="P150" i="2" s="1"/>
  <c r="S150" i="2" s="1"/>
  <c r="Q150" i="2"/>
  <c r="R150" i="2" s="1"/>
  <c r="T150" i="2" s="1"/>
  <c r="U150" i="2"/>
  <c r="V150" i="2" s="1"/>
  <c r="W150" i="2"/>
  <c r="X150" i="2" s="1"/>
  <c r="L151" i="2"/>
  <c r="O151" i="2"/>
  <c r="P151" i="2" s="1"/>
  <c r="S151" i="2" s="1"/>
  <c r="Q151" i="2"/>
  <c r="R151" i="2" s="1"/>
  <c r="T151" i="2" s="1"/>
  <c r="U151" i="2"/>
  <c r="V151" i="2" s="1"/>
  <c r="W151" i="2"/>
  <c r="X151" i="2" s="1"/>
  <c r="L152" i="2"/>
  <c r="O152" i="2"/>
  <c r="P152" i="2" s="1"/>
  <c r="S152" i="2" s="1"/>
  <c r="Q152" i="2"/>
  <c r="R152" i="2" s="1"/>
  <c r="T152" i="2" s="1"/>
  <c r="U152" i="2"/>
  <c r="V152" i="2" s="1"/>
  <c r="W152" i="2"/>
  <c r="X152" i="2" s="1"/>
  <c r="L153" i="2"/>
  <c r="O153" i="2"/>
  <c r="P153" i="2" s="1"/>
  <c r="S153" i="2" s="1"/>
  <c r="Q153" i="2"/>
  <c r="R153" i="2" s="1"/>
  <c r="T153" i="2" s="1"/>
  <c r="U153" i="2"/>
  <c r="V153" i="2" s="1"/>
  <c r="W153" i="2"/>
  <c r="X153" i="2" s="1"/>
  <c r="L154" i="2"/>
  <c r="O154" i="2"/>
  <c r="P154" i="2" s="1"/>
  <c r="S154" i="2" s="1"/>
  <c r="Q154" i="2"/>
  <c r="R154" i="2" s="1"/>
  <c r="T154" i="2" s="1"/>
  <c r="U154" i="2"/>
  <c r="V154" i="2" s="1"/>
  <c r="W154" i="2"/>
  <c r="X154" i="2" s="1"/>
  <c r="L155" i="2"/>
  <c r="O155" i="2"/>
  <c r="P155" i="2" s="1"/>
  <c r="S155" i="2" s="1"/>
  <c r="Q155" i="2"/>
  <c r="R155" i="2" s="1"/>
  <c r="T155" i="2" s="1"/>
  <c r="U155" i="2"/>
  <c r="V155" i="2" s="1"/>
  <c r="W155" i="2"/>
  <c r="X155" i="2" s="1"/>
  <c r="L156" i="2"/>
  <c r="O156" i="2"/>
  <c r="P156" i="2" s="1"/>
  <c r="S156" i="2" s="1"/>
  <c r="Q156" i="2"/>
  <c r="R156" i="2" s="1"/>
  <c r="T156" i="2" s="1"/>
  <c r="U156" i="2"/>
  <c r="V156" i="2" s="1"/>
  <c r="W156" i="2"/>
  <c r="X156" i="2" s="1"/>
  <c r="L157" i="2"/>
  <c r="O157" i="2"/>
  <c r="P157" i="2" s="1"/>
  <c r="S157" i="2" s="1"/>
  <c r="Q157" i="2"/>
  <c r="R157" i="2" s="1"/>
  <c r="T157" i="2" s="1"/>
  <c r="U157" i="2"/>
  <c r="V157" i="2" s="1"/>
  <c r="W157" i="2"/>
  <c r="X157" i="2" s="1"/>
  <c r="L158" i="2"/>
  <c r="O158" i="2"/>
  <c r="P158" i="2" s="1"/>
  <c r="S158" i="2" s="1"/>
  <c r="Q158" i="2"/>
  <c r="R158" i="2" s="1"/>
  <c r="T158" i="2" s="1"/>
  <c r="U158" i="2"/>
  <c r="V158" i="2" s="1"/>
  <c r="W158" i="2"/>
  <c r="X158" i="2" s="1"/>
  <c r="L159" i="2"/>
  <c r="O159" i="2"/>
  <c r="P159" i="2" s="1"/>
  <c r="S159" i="2" s="1"/>
  <c r="Q159" i="2"/>
  <c r="R159" i="2" s="1"/>
  <c r="T159" i="2" s="1"/>
  <c r="U159" i="2"/>
  <c r="V159" i="2" s="1"/>
  <c r="W159" i="2"/>
  <c r="X159" i="2" s="1"/>
  <c r="L160" i="2"/>
  <c r="O160" i="2"/>
  <c r="P160" i="2" s="1"/>
  <c r="S160" i="2" s="1"/>
  <c r="Q160" i="2"/>
  <c r="R160" i="2" s="1"/>
  <c r="T160" i="2" s="1"/>
  <c r="U160" i="2"/>
  <c r="V160" i="2" s="1"/>
  <c r="W160" i="2"/>
  <c r="X160" i="2" s="1"/>
  <c r="L161" i="2"/>
  <c r="O161" i="2"/>
  <c r="P161" i="2" s="1"/>
  <c r="S161" i="2" s="1"/>
  <c r="Q161" i="2"/>
  <c r="R161" i="2" s="1"/>
  <c r="T161" i="2" s="1"/>
  <c r="U161" i="2"/>
  <c r="V161" i="2" s="1"/>
  <c r="W161" i="2"/>
  <c r="X161" i="2" s="1"/>
  <c r="L162" i="2"/>
  <c r="O162" i="2"/>
  <c r="P162" i="2" s="1"/>
  <c r="S162" i="2" s="1"/>
  <c r="Q162" i="2"/>
  <c r="R162" i="2" s="1"/>
  <c r="T162" i="2" s="1"/>
  <c r="U162" i="2"/>
  <c r="V162" i="2" s="1"/>
  <c r="W162" i="2"/>
  <c r="X162" i="2" s="1"/>
  <c r="L163" i="2"/>
  <c r="O163" i="2"/>
  <c r="P163" i="2" s="1"/>
  <c r="S163" i="2" s="1"/>
  <c r="Q163" i="2"/>
  <c r="R163" i="2" s="1"/>
  <c r="T163" i="2" s="1"/>
  <c r="U163" i="2"/>
  <c r="V163" i="2" s="1"/>
  <c r="W163" i="2"/>
  <c r="X163" i="2" s="1"/>
  <c r="L164" i="2"/>
  <c r="O164" i="2"/>
  <c r="P164" i="2" s="1"/>
  <c r="S164" i="2" s="1"/>
  <c r="Q164" i="2"/>
  <c r="R164" i="2" s="1"/>
  <c r="T164" i="2" s="1"/>
  <c r="U164" i="2"/>
  <c r="V164" i="2" s="1"/>
  <c r="W164" i="2"/>
  <c r="X164" i="2" s="1"/>
  <c r="L165" i="2"/>
  <c r="O165" i="2"/>
  <c r="P165" i="2" s="1"/>
  <c r="S165" i="2" s="1"/>
  <c r="Q165" i="2"/>
  <c r="R165" i="2" s="1"/>
  <c r="T165" i="2" s="1"/>
  <c r="U165" i="2"/>
  <c r="V165" i="2" s="1"/>
  <c r="W165" i="2"/>
  <c r="X165" i="2" s="1"/>
  <c r="L166" i="2"/>
  <c r="O166" i="2"/>
  <c r="P166" i="2" s="1"/>
  <c r="S166" i="2" s="1"/>
  <c r="Q166" i="2"/>
  <c r="R166" i="2" s="1"/>
  <c r="T166" i="2" s="1"/>
  <c r="U166" i="2"/>
  <c r="V166" i="2" s="1"/>
  <c r="W166" i="2"/>
  <c r="X166" i="2" s="1"/>
  <c r="L167" i="2"/>
  <c r="O167" i="2"/>
  <c r="P167" i="2" s="1"/>
  <c r="S167" i="2" s="1"/>
  <c r="Q167" i="2"/>
  <c r="R167" i="2" s="1"/>
  <c r="T167" i="2" s="1"/>
  <c r="U167" i="2"/>
  <c r="V167" i="2" s="1"/>
  <c r="W167" i="2"/>
  <c r="X167" i="2" s="1"/>
  <c r="L168" i="2"/>
  <c r="O168" i="2"/>
  <c r="P168" i="2" s="1"/>
  <c r="S168" i="2" s="1"/>
  <c r="Q168" i="2"/>
  <c r="R168" i="2" s="1"/>
  <c r="T168" i="2" s="1"/>
  <c r="U168" i="2"/>
  <c r="V168" i="2" s="1"/>
  <c r="W168" i="2"/>
  <c r="X168" i="2" s="1"/>
  <c r="L169" i="2"/>
  <c r="O169" i="2"/>
  <c r="P169" i="2" s="1"/>
  <c r="S169" i="2" s="1"/>
  <c r="Q169" i="2"/>
  <c r="R169" i="2" s="1"/>
  <c r="T169" i="2" s="1"/>
  <c r="U169" i="2"/>
  <c r="V169" i="2" s="1"/>
  <c r="W169" i="2"/>
  <c r="X169" i="2" s="1"/>
  <c r="L170" i="2"/>
  <c r="O170" i="2"/>
  <c r="P170" i="2" s="1"/>
  <c r="S170" i="2" s="1"/>
  <c r="Q170" i="2"/>
  <c r="R170" i="2" s="1"/>
  <c r="T170" i="2" s="1"/>
  <c r="U170" i="2"/>
  <c r="V170" i="2" s="1"/>
  <c r="W170" i="2"/>
  <c r="X170" i="2" s="1"/>
  <c r="L171" i="2"/>
  <c r="O171" i="2"/>
  <c r="P171" i="2" s="1"/>
  <c r="S171" i="2" s="1"/>
  <c r="Q171" i="2"/>
  <c r="R171" i="2" s="1"/>
  <c r="T171" i="2" s="1"/>
  <c r="U171" i="2"/>
  <c r="V171" i="2" s="1"/>
  <c r="W171" i="2"/>
  <c r="X171" i="2" s="1"/>
  <c r="L172" i="2"/>
  <c r="O172" i="2"/>
  <c r="P172" i="2" s="1"/>
  <c r="S172" i="2" s="1"/>
  <c r="Q172" i="2"/>
  <c r="R172" i="2" s="1"/>
  <c r="T172" i="2" s="1"/>
  <c r="U172" i="2"/>
  <c r="V172" i="2" s="1"/>
  <c r="W172" i="2"/>
  <c r="X172" i="2" s="1"/>
  <c r="W2" i="2"/>
  <c r="X2" i="2" s="1"/>
  <c r="U2" i="2"/>
  <c r="V2" i="2" s="1"/>
  <c r="Q2" i="2"/>
  <c r="R2" i="2" s="1"/>
  <c r="T2" i="2" s="1"/>
  <c r="O2" i="2"/>
  <c r="P2" i="2" s="1"/>
  <c r="S2" i="2" s="1"/>
  <c r="L2" i="2"/>
  <c r="Y123" i="2" l="1"/>
  <c r="Z123" i="2" s="1"/>
  <c r="Y66" i="2"/>
  <c r="Z66" i="2" s="1"/>
  <c r="Y42" i="2"/>
  <c r="Z42" i="2" s="1"/>
  <c r="Y108" i="2"/>
  <c r="Z108" i="2" s="1"/>
  <c r="Y135" i="2"/>
  <c r="Z135" i="2" s="1"/>
  <c r="Y29" i="2"/>
  <c r="Z29" i="2" s="1"/>
  <c r="Y2" i="2"/>
  <c r="Z2" i="2" s="1"/>
  <c r="Y64" i="2"/>
  <c r="Z64" i="2" s="1"/>
  <c r="Y50" i="2"/>
  <c r="Z50" i="2" s="1"/>
  <c r="Y5" i="2"/>
  <c r="Z5" i="2" s="1"/>
  <c r="Y77" i="2"/>
  <c r="Z77" i="2" s="1"/>
  <c r="Y32" i="2"/>
  <c r="Z32" i="2" s="1"/>
  <c r="Y34" i="2"/>
  <c r="Z34" i="2" s="1"/>
  <c r="Y73" i="2"/>
  <c r="Z73" i="2" s="1"/>
  <c r="Y68" i="2"/>
  <c r="Z68" i="2" s="1"/>
  <c r="Y80" i="2"/>
  <c r="Z80" i="2" s="1"/>
  <c r="Y87" i="2"/>
  <c r="Z87" i="2" s="1"/>
  <c r="Y149" i="2"/>
  <c r="Z149" i="2" s="1"/>
  <c r="Y38" i="2"/>
  <c r="Z38" i="2" s="1"/>
  <c r="Y144" i="2"/>
  <c r="Z144" i="2" s="1"/>
  <c r="Y100" i="2"/>
  <c r="Z100" i="2" s="1"/>
  <c r="Y102" i="2"/>
  <c r="Z102" i="2" s="1"/>
  <c r="Y13" i="2"/>
  <c r="Z13" i="2" s="1"/>
  <c r="Y86" i="2"/>
  <c r="Z86" i="2" s="1"/>
  <c r="Y125" i="2"/>
  <c r="Z125" i="2" s="1"/>
  <c r="Y163" i="2"/>
  <c r="Z163" i="2" s="1"/>
  <c r="Y134" i="2"/>
  <c r="Z134" i="2" s="1"/>
  <c r="Y69" i="2"/>
  <c r="Z69" i="2" s="1"/>
  <c r="Y171" i="2"/>
  <c r="Z171" i="2" s="1"/>
  <c r="Y138" i="2"/>
  <c r="Z138" i="2" s="1"/>
  <c r="Y30" i="2"/>
  <c r="Z30" i="2" s="1"/>
  <c r="Y14" i="2"/>
  <c r="Z14" i="2" s="1"/>
  <c r="Y170" i="2"/>
  <c r="Z170" i="2" s="1"/>
  <c r="Y158" i="2"/>
  <c r="Z158" i="2" s="1"/>
  <c r="Y117" i="2"/>
  <c r="Z117" i="2" s="1"/>
  <c r="Y99" i="2"/>
  <c r="Z99" i="2" s="1"/>
  <c r="Y151" i="2"/>
  <c r="Z151" i="2" s="1"/>
  <c r="Y83" i="2"/>
  <c r="Z83" i="2" s="1"/>
  <c r="Y27" i="2"/>
  <c r="Z27" i="2" s="1"/>
  <c r="Y53" i="2"/>
  <c r="Z53" i="2" s="1"/>
  <c r="Y65" i="2"/>
  <c r="Z65" i="2" s="1"/>
  <c r="Y17" i="2"/>
  <c r="Z17" i="2" s="1"/>
  <c r="Y15" i="2"/>
  <c r="Z15" i="2" s="1"/>
  <c r="Y150" i="2"/>
  <c r="Z150" i="2" s="1"/>
  <c r="Y67" i="2"/>
  <c r="Z67" i="2" s="1"/>
  <c r="Y46" i="2"/>
  <c r="Z46" i="2" s="1"/>
  <c r="Y44" i="2"/>
  <c r="Z44" i="2" s="1"/>
  <c r="Y24" i="2"/>
  <c r="Z24" i="2" s="1"/>
  <c r="Y70" i="2"/>
  <c r="Z70" i="2" s="1"/>
  <c r="Y110" i="2"/>
  <c r="Z110" i="2" s="1"/>
  <c r="Y169" i="2"/>
  <c r="Z169" i="2" s="1"/>
  <c r="Y145" i="2"/>
  <c r="Z145" i="2" s="1"/>
  <c r="Y132" i="2"/>
  <c r="Z132" i="2" s="1"/>
  <c r="Y116" i="2"/>
  <c r="Z116" i="2" s="1"/>
  <c r="Y89" i="2"/>
  <c r="Z89" i="2" s="1"/>
  <c r="Y82" i="2"/>
  <c r="Z82" i="2" s="1"/>
  <c r="Y26" i="2"/>
  <c r="Z26" i="2" s="1"/>
  <c r="Y126" i="2"/>
  <c r="Z126" i="2" s="1"/>
  <c r="Y76" i="2"/>
  <c r="Z76" i="2" s="1"/>
  <c r="Y51" i="2"/>
  <c r="Z51" i="2" s="1"/>
  <c r="Y128" i="2"/>
  <c r="Z128" i="2" s="1"/>
  <c r="Y90" i="2"/>
  <c r="Z90" i="2" s="1"/>
  <c r="Y161" i="2"/>
  <c r="Z161" i="2" s="1"/>
  <c r="Y147" i="2"/>
  <c r="Z147" i="2" s="1"/>
  <c r="Y127" i="2"/>
  <c r="Z127" i="2" s="1"/>
  <c r="Y91" i="2"/>
  <c r="Z91" i="2" s="1"/>
  <c r="Y84" i="2"/>
  <c r="Z84" i="2" s="1"/>
  <c r="Y62" i="2"/>
  <c r="Z62" i="2" s="1"/>
  <c r="Y60" i="2"/>
  <c r="Z60" i="2" s="1"/>
  <c r="Y72" i="2"/>
  <c r="Z72" i="2" s="1"/>
  <c r="Y119" i="2"/>
  <c r="Z119" i="2" s="1"/>
  <c r="Y85" i="2"/>
  <c r="Z85" i="2" s="1"/>
  <c r="Y113" i="2"/>
  <c r="Z113" i="2" s="1"/>
  <c r="Y104" i="2"/>
  <c r="Z104" i="2" s="1"/>
  <c r="Y58" i="2"/>
  <c r="Z58" i="2" s="1"/>
  <c r="Y23" i="2"/>
  <c r="Z23" i="2" s="1"/>
  <c r="Y18" i="2"/>
  <c r="Z18" i="2" s="1"/>
  <c r="Y165" i="2"/>
  <c r="Z165" i="2" s="1"/>
  <c r="Y40" i="2"/>
  <c r="Z40" i="2" s="1"/>
  <c r="Y101" i="2"/>
  <c r="Z101" i="2" s="1"/>
  <c r="Y162" i="2"/>
  <c r="Z162" i="2" s="1"/>
  <c r="Y137" i="2"/>
  <c r="Z137" i="2" s="1"/>
  <c r="Y78" i="2"/>
  <c r="Z78" i="2" s="1"/>
  <c r="Y36" i="2"/>
  <c r="Z36" i="2" s="1"/>
  <c r="Y172" i="2"/>
  <c r="Z172" i="2" s="1"/>
  <c r="Y63" i="2"/>
  <c r="Z63" i="2" s="1"/>
  <c r="Y54" i="2"/>
  <c r="Z54" i="2" s="1"/>
  <c r="Y6" i="2"/>
  <c r="Z6" i="2" s="1"/>
  <c r="Y136" i="2"/>
  <c r="Z136" i="2" s="1"/>
  <c r="Y103" i="2"/>
  <c r="Z103" i="2" s="1"/>
  <c r="Y155" i="2"/>
  <c r="Z155" i="2" s="1"/>
  <c r="Y131" i="2"/>
  <c r="Z131" i="2" s="1"/>
  <c r="Y59" i="2"/>
  <c r="Z59" i="2" s="1"/>
  <c r="Y20" i="2"/>
  <c r="Z20" i="2" s="1"/>
  <c r="Y107" i="2"/>
  <c r="Z107" i="2" s="1"/>
  <c r="Y75" i="2"/>
  <c r="Z75" i="2" s="1"/>
  <c r="Y141" i="2"/>
  <c r="Z141" i="2" s="1"/>
  <c r="Y37" i="2"/>
  <c r="Z37" i="2" s="1"/>
  <c r="Y159" i="2"/>
  <c r="Z159" i="2" s="1"/>
  <c r="Y143" i="2"/>
  <c r="Z143" i="2" s="1"/>
  <c r="Y115" i="2"/>
  <c r="Z115" i="2" s="1"/>
  <c r="Y79" i="2"/>
  <c r="Z79" i="2" s="1"/>
  <c r="Y41" i="2"/>
  <c r="Z41" i="2" s="1"/>
  <c r="Y35" i="2"/>
  <c r="Z35" i="2" s="1"/>
  <c r="Y33" i="2"/>
  <c r="Z33" i="2" s="1"/>
  <c r="Y31" i="2"/>
  <c r="Z31" i="2" s="1"/>
  <c r="Y22" i="2"/>
  <c r="Z22" i="2" s="1"/>
  <c r="Y10" i="2"/>
  <c r="Z10" i="2" s="1"/>
  <c r="Y124" i="2"/>
  <c r="Z124" i="2" s="1"/>
  <c r="Y98" i="2"/>
  <c r="Z98" i="2" s="1"/>
  <c r="Y96" i="2"/>
  <c r="Z96" i="2" s="1"/>
  <c r="Y81" i="2"/>
  <c r="Z81" i="2" s="1"/>
  <c r="Y55" i="2"/>
  <c r="Z55" i="2" s="1"/>
  <c r="Y49" i="2"/>
  <c r="Z49" i="2" s="1"/>
  <c r="Y47" i="2"/>
  <c r="Z47" i="2" s="1"/>
  <c r="Y43" i="2"/>
  <c r="Z43" i="2" s="1"/>
  <c r="Y146" i="2"/>
  <c r="Z146" i="2" s="1"/>
  <c r="Y120" i="2"/>
  <c r="Z120" i="2" s="1"/>
  <c r="Y166" i="2"/>
  <c r="Z166" i="2" s="1"/>
  <c r="Y92" i="2"/>
  <c r="Z92" i="2" s="1"/>
  <c r="Y45" i="2"/>
  <c r="Z45" i="2" s="1"/>
  <c r="Y152" i="2"/>
  <c r="Z152" i="2" s="1"/>
  <c r="Y130" i="2"/>
  <c r="Z130" i="2" s="1"/>
  <c r="Y106" i="2"/>
  <c r="Z106" i="2" s="1"/>
  <c r="Y74" i="2"/>
  <c r="Z74" i="2" s="1"/>
  <c r="Y19" i="2"/>
  <c r="Z19" i="2" s="1"/>
  <c r="Y7" i="2"/>
  <c r="Z7" i="2" s="1"/>
  <c r="Y118" i="2"/>
  <c r="Z118" i="2" s="1"/>
  <c r="Y25" i="2"/>
  <c r="Z25" i="2" s="1"/>
  <c r="Y133" i="2"/>
  <c r="Z133" i="2" s="1"/>
  <c r="Y8" i="2"/>
  <c r="Z8" i="2" s="1"/>
  <c r="Y111" i="2"/>
  <c r="Z111" i="2" s="1"/>
  <c r="Y153" i="2"/>
  <c r="Z153" i="2" s="1"/>
  <c r="Y61" i="2"/>
  <c r="Z61" i="2" s="1"/>
  <c r="Y16" i="2"/>
  <c r="Z16" i="2" s="1"/>
  <c r="Y164" i="2"/>
  <c r="Z164" i="2" s="1"/>
  <c r="Y139" i="2"/>
  <c r="Z139" i="2" s="1"/>
  <c r="Y12" i="2"/>
  <c r="Z12" i="2" s="1"/>
  <c r="Y168" i="2"/>
  <c r="Z168" i="2" s="1"/>
  <c r="Y154" i="2"/>
  <c r="Z154" i="2" s="1"/>
  <c r="Y121" i="2"/>
  <c r="Z121" i="2" s="1"/>
  <c r="Y114" i="2"/>
  <c r="Z114" i="2" s="1"/>
  <c r="Y112" i="2"/>
  <c r="Z112" i="2" s="1"/>
  <c r="Y21" i="2"/>
  <c r="Z21" i="2" s="1"/>
  <c r="Y11" i="2"/>
  <c r="Z11" i="2" s="1"/>
  <c r="Y9" i="2"/>
  <c r="Z9" i="2" s="1"/>
  <c r="Y3" i="2"/>
  <c r="Z3" i="2" s="1"/>
  <c r="Y71" i="2"/>
  <c r="Z71" i="2" s="1"/>
  <c r="Y52" i="2"/>
  <c r="Z52" i="2" s="1"/>
  <c r="Y57" i="2"/>
  <c r="Z57" i="2" s="1"/>
  <c r="Y4" i="2"/>
  <c r="Z4" i="2" s="1"/>
  <c r="Y122" i="2"/>
  <c r="Z122" i="2" s="1"/>
  <c r="Y167" i="2"/>
  <c r="Z167" i="2" s="1"/>
  <c r="Y156" i="2"/>
  <c r="Z156" i="2" s="1"/>
  <c r="Y160" i="2"/>
  <c r="Z160" i="2" s="1"/>
  <c r="Y142" i="2"/>
  <c r="Z142" i="2" s="1"/>
  <c r="Y140" i="2"/>
  <c r="Z140" i="2" s="1"/>
  <c r="Y97" i="2"/>
  <c r="Z97" i="2" s="1"/>
  <c r="Y95" i="2"/>
  <c r="Z95" i="2" s="1"/>
  <c r="Y93" i="2"/>
  <c r="Z93" i="2" s="1"/>
  <c r="Y56" i="2"/>
  <c r="Z56" i="2" s="1"/>
  <c r="Y48" i="2"/>
  <c r="Z48" i="2" s="1"/>
  <c r="Y28" i="2"/>
  <c r="Z28" i="2" s="1"/>
  <c r="Y129" i="2"/>
  <c r="Z129" i="2" s="1"/>
  <c r="Y105" i="2"/>
  <c r="Z105" i="2" s="1"/>
  <c r="Y94" i="2"/>
  <c r="Z94" i="2" s="1"/>
  <c r="Y157" i="2"/>
  <c r="Z157" i="2" s="1"/>
  <c r="Y88" i="2"/>
  <c r="Z88" i="2" s="1"/>
  <c r="Y39" i="2"/>
  <c r="Z39" i="2" s="1"/>
  <c r="Y109" i="2"/>
  <c r="Z109" i="2" s="1"/>
  <c r="Y148" i="2"/>
  <c r="Z148" i="2" s="1"/>
</calcChain>
</file>

<file path=xl/sharedStrings.xml><?xml version="1.0" encoding="utf-8"?>
<sst xmlns="http://schemas.openxmlformats.org/spreadsheetml/2006/main" count="1278" uniqueCount="467">
  <si>
    <t>DepartmentName</t>
  </si>
  <si>
    <t>CourseCode</t>
  </si>
  <si>
    <t>CourseName</t>
  </si>
  <si>
    <t>AKTS</t>
  </si>
  <si>
    <t>KREDI</t>
  </si>
  <si>
    <t>SINIF</t>
  </si>
  <si>
    <t>ZOR_SEC</t>
  </si>
  <si>
    <t>InstructorUserId</t>
  </si>
  <si>
    <t>OgrenciSayisi</t>
  </si>
  <si>
    <t>Z</t>
  </si>
  <si>
    <t>BAF104</t>
  </si>
  <si>
    <t>İktisat II</t>
  </si>
  <si>
    <t>Finans ve Bankacılık</t>
  </si>
  <si>
    <t>Dr.Öğr.Üyesi Hüseyin TOPUZ</t>
  </si>
  <si>
    <t>BAF106</t>
  </si>
  <si>
    <t>Muhasebe II</t>
  </si>
  <si>
    <t>Doç.Dr. AYŞEGÜL CİĞER</t>
  </si>
  <si>
    <t>BAF108</t>
  </si>
  <si>
    <t>Finans Matematiği</t>
  </si>
  <si>
    <t>Doç.Dr. NURİ AVŞARLIGİL</t>
  </si>
  <si>
    <t>BAF110</t>
  </si>
  <si>
    <t>Borçlar Hukuku</t>
  </si>
  <si>
    <t>Öğr.Gör.Dr. DUYGU TURGUT GÜNEL</t>
  </si>
  <si>
    <t>BAF202</t>
  </si>
  <si>
    <t>Banka Muhasebesi</t>
  </si>
  <si>
    <t>Doç.Dr. AHMET KAYA</t>
  </si>
  <si>
    <t>BAF204</t>
  </si>
  <si>
    <t>Finansal Yönetim II</t>
  </si>
  <si>
    <t>BAF206</t>
  </si>
  <si>
    <t>Makro İktisat</t>
  </si>
  <si>
    <t>Doç.Dr. NİHAN ÖKSÜZ NARİNÇ</t>
  </si>
  <si>
    <t>BAF208</t>
  </si>
  <si>
    <t>İstatistik II</t>
  </si>
  <si>
    <t>BAF210</t>
  </si>
  <si>
    <t>Banka Hukuku</t>
  </si>
  <si>
    <t>Doç.Dr. FURKAN YILDIRIM</t>
  </si>
  <si>
    <t>BAF212</t>
  </si>
  <si>
    <t>BAF214</t>
  </si>
  <si>
    <t>İş Hukuku ve Sosyal Güvenlik</t>
  </si>
  <si>
    <t>BAF216</t>
  </si>
  <si>
    <t>Pazarlama İlkeleri</t>
  </si>
  <si>
    <t>Doç.Dr. SEDA SÖNMEZ</t>
  </si>
  <si>
    <t>BAF218</t>
  </si>
  <si>
    <t>İnsan Kaynakları Yönetimi</t>
  </si>
  <si>
    <t>Öğr.Gör. METEHAN YAYKAŞLI</t>
  </si>
  <si>
    <t>BAF302</t>
  </si>
  <si>
    <t>Türev Piyasaları II</t>
  </si>
  <si>
    <t>Doç.Dr. ULAŞ ÜNLÜ</t>
  </si>
  <si>
    <t>BAF304</t>
  </si>
  <si>
    <t>Finansal Ekonometri</t>
  </si>
  <si>
    <t>BAF306</t>
  </si>
  <si>
    <t>Finansal Piyasalar ve Kurumlar</t>
  </si>
  <si>
    <t>BAF308</t>
  </si>
  <si>
    <t>Uluslararası Bankacılık</t>
  </si>
  <si>
    <t>Doç.Dr. FİLİZ YETİZ</t>
  </si>
  <si>
    <t>BAF310</t>
  </si>
  <si>
    <t>Kredi Analizi ve Politikası</t>
  </si>
  <si>
    <t>BAF312</t>
  </si>
  <si>
    <t>Veri Madenciliği</t>
  </si>
  <si>
    <t>BAF314</t>
  </si>
  <si>
    <t>Denetim</t>
  </si>
  <si>
    <t>BAF320</t>
  </si>
  <si>
    <t>Türk Vergi Sistemi</t>
  </si>
  <si>
    <t>Öğr.Gör.Dr. MEHMET KÖYYAR</t>
  </si>
  <si>
    <t>TDP301</t>
  </si>
  <si>
    <t>Toplumsal Duyarlılık ve Katkı</t>
  </si>
  <si>
    <t>ENF 115</t>
  </si>
  <si>
    <t>İleri Düzey Ofis Uygulamaları</t>
  </si>
  <si>
    <t>Pazarlama</t>
  </si>
  <si>
    <t>Öğr.Gör. ŞAHİN AKBUNAR</t>
  </si>
  <si>
    <t>KPD 102</t>
  </si>
  <si>
    <t>Kariyer Planlama</t>
  </si>
  <si>
    <t>Doç.Dr. İBRAHİM TAYLAN DÖRTYOL</t>
  </si>
  <si>
    <t>Pazarlama (İÖ)</t>
  </si>
  <si>
    <t>PAZ 152</t>
  </si>
  <si>
    <t>Pazarlama İlkeleri II</t>
  </si>
  <si>
    <t>Pazarlama Yönetimi</t>
  </si>
  <si>
    <t>PAZ 182</t>
  </si>
  <si>
    <t>Sosyoloji</t>
  </si>
  <si>
    <t>PAZ 184</t>
  </si>
  <si>
    <t>İktisada Giriş II</t>
  </si>
  <si>
    <t>PAZ 198</t>
  </si>
  <si>
    <t>Yönetim ve Organizasyon</t>
  </si>
  <si>
    <t>PAZ 252</t>
  </si>
  <si>
    <t>Uluslararası Pazarlama</t>
  </si>
  <si>
    <t>Doç.Dr. NACİ BÜYÜKDAĞ</t>
  </si>
  <si>
    <t>PAZ 254</t>
  </si>
  <si>
    <t>Fiyatlandırma Stratejileri</t>
  </si>
  <si>
    <t>Doç.Dr. RAİFE MELTEM YETKİN ÖZBÜK</t>
  </si>
  <si>
    <t>PAZ 262</t>
  </si>
  <si>
    <t>Bütünleşik Pazarlama İletişimi</t>
  </si>
  <si>
    <t>Dr.Öğr.Üyesi NURETTİN MERT BATU</t>
  </si>
  <si>
    <t>PAZ 266</t>
  </si>
  <si>
    <t>Satış Yönetimi</t>
  </si>
  <si>
    <t>Öğr.Gör.Dr. AYÇA KANGAL DEMİR</t>
  </si>
  <si>
    <t>PAZ 272</t>
  </si>
  <si>
    <t>PAZ 296</t>
  </si>
  <si>
    <t>PAZ 352</t>
  </si>
  <si>
    <t>İhracat ve İthalat Yönetimi</t>
  </si>
  <si>
    <t>Doç.Dr. HALİL ÖZEKİCİOĞLU</t>
  </si>
  <si>
    <t>PAZ 362</t>
  </si>
  <si>
    <t>Marka Yönetimi</t>
  </si>
  <si>
    <t>PAZ 364</t>
  </si>
  <si>
    <t>Kurumsal Sosyal Sorumluluk</t>
  </si>
  <si>
    <t>PAZ 366</t>
  </si>
  <si>
    <t>Endüstriyel Pazarlama</t>
  </si>
  <si>
    <t>PAZ 372</t>
  </si>
  <si>
    <t>Pazarlama Araştırmaları II</t>
  </si>
  <si>
    <t>PAZ 374</t>
  </si>
  <si>
    <t>Arş.Gör. ASLI GÜVEN</t>
  </si>
  <si>
    <t>PAZ 378</t>
  </si>
  <si>
    <t>Kurumsal Kaynak Planlama</t>
  </si>
  <si>
    <t>PAZ 382</t>
  </si>
  <si>
    <t>Mesleki İngilizce II</t>
  </si>
  <si>
    <t>PAZ 394</t>
  </si>
  <si>
    <t>PFE 304</t>
  </si>
  <si>
    <t>Özel Öğretim Yöntemleri</t>
  </si>
  <si>
    <t>TDP 300</t>
  </si>
  <si>
    <t>Toplumsal Destek Projeleri</t>
  </si>
  <si>
    <t>TDP 301</t>
  </si>
  <si>
    <t>Sigortacılık</t>
  </si>
  <si>
    <t>SGR 104</t>
  </si>
  <si>
    <t>Genel Muhasebe II</t>
  </si>
  <si>
    <t>SGR 106</t>
  </si>
  <si>
    <t>Doç.Dr. YUNUS KILIÇ</t>
  </si>
  <si>
    <t>SGR 108</t>
  </si>
  <si>
    <t>Hukukun Temel Kavramları</t>
  </si>
  <si>
    <t>SGR 112</t>
  </si>
  <si>
    <t>SGR 114</t>
  </si>
  <si>
    <t>Temel Sigortacılık</t>
  </si>
  <si>
    <t>SGR 116</t>
  </si>
  <si>
    <t>Bilgisayar Programlama</t>
  </si>
  <si>
    <t>Doç.Dr. AHMET TÜRKMEN</t>
  </si>
  <si>
    <t>SGR 202</t>
  </si>
  <si>
    <t>Hayat Sigortaları</t>
  </si>
  <si>
    <t>SGR 204</t>
  </si>
  <si>
    <t>SGR 206</t>
  </si>
  <si>
    <t>Hayat Sigortaları Matematiği</t>
  </si>
  <si>
    <t>Dr.Öğr.Üyesi HATİCE ÖZLEM YALAZ</t>
  </si>
  <si>
    <t>SGR 208</t>
  </si>
  <si>
    <t>Pazarlama Araştırması</t>
  </si>
  <si>
    <t>SGR 212</t>
  </si>
  <si>
    <t>Sigorta Hukuku</t>
  </si>
  <si>
    <t>SGR 218</t>
  </si>
  <si>
    <t>SGR 302</t>
  </si>
  <si>
    <t>Risk Yönetimi II</t>
  </si>
  <si>
    <t>SGR 304</t>
  </si>
  <si>
    <t>SGR 306</t>
  </si>
  <si>
    <t>Sorumluluk Sigortaları</t>
  </si>
  <si>
    <t>Öğr.Gör. ŞENAY ÖZDEMİR ERSÖZ</t>
  </si>
  <si>
    <t>SGR 308</t>
  </si>
  <si>
    <t>Hasar Yönetimi</t>
  </si>
  <si>
    <t>SGR 312</t>
  </si>
  <si>
    <t>Tüketici Davranışları</t>
  </si>
  <si>
    <t>SGR 318</t>
  </si>
  <si>
    <t>Girişimcilik</t>
  </si>
  <si>
    <t>Doç.Dr. NİSA EKŞİLİ</t>
  </si>
  <si>
    <t>Uluslararası Ticaret ve Lojistik</t>
  </si>
  <si>
    <t>Öğr.Gör. BENGİ KÜMBÜL UZUNSAKAL</t>
  </si>
  <si>
    <t>Öğr.Gör. TALHA TUNÇ</t>
  </si>
  <si>
    <t>UTL 104</t>
  </si>
  <si>
    <t>UTL 112</t>
  </si>
  <si>
    <t>Prof.Dr. RAMAZAN ERTURGUT</t>
  </si>
  <si>
    <t>UTL 114</t>
  </si>
  <si>
    <t>Lojistik Yönetimi</t>
  </si>
  <si>
    <t>Arş.Gör.Dr. ARTUĞ EREN COŞKUN</t>
  </si>
  <si>
    <t>UTL 120</t>
  </si>
  <si>
    <t>İstatistiğe Giriş</t>
  </si>
  <si>
    <t>Prof.Dr. FAHRİYE MERDİVENCİ</t>
  </si>
  <si>
    <t>UTL 202</t>
  </si>
  <si>
    <t>Doç.Dr. ATİYE BEYHAN AKAY</t>
  </si>
  <si>
    <t>UTL 208</t>
  </si>
  <si>
    <t>Stratejik Yönetim</t>
  </si>
  <si>
    <t>UTL 232</t>
  </si>
  <si>
    <t>UTL 234</t>
  </si>
  <si>
    <t>UTL 238</t>
  </si>
  <si>
    <t>Ulaştırma Sistemleri</t>
  </si>
  <si>
    <t>Öğr.Gör.Dr. OSMAN YAKIT</t>
  </si>
  <si>
    <t>UTL 244</t>
  </si>
  <si>
    <t>Öğr.Gör.Dr. İsmail KARAYÜN</t>
  </si>
  <si>
    <t>UTL 254</t>
  </si>
  <si>
    <t>Mesleki İngilizce</t>
  </si>
  <si>
    <t>Prof.Dr. ŞERİFE GÖZDE YİRMİBEŞOĞLU</t>
  </si>
  <si>
    <t>UTL 334</t>
  </si>
  <si>
    <t>Türkiye Ekonomisi</t>
  </si>
  <si>
    <t>Uluslararası Ticaret ve Lojistik (İÖ)</t>
  </si>
  <si>
    <t>UTL 338</t>
  </si>
  <si>
    <t>UTL 350</t>
  </si>
  <si>
    <t>UTL 352</t>
  </si>
  <si>
    <t>Uluslararası Lojistik</t>
  </si>
  <si>
    <t>UTL 356</t>
  </si>
  <si>
    <t>Lojistik Planlama ve Modelleme</t>
  </si>
  <si>
    <t>UTL 362</t>
  </si>
  <si>
    <t>Satın Alma ve Kontrat Yönetimi</t>
  </si>
  <si>
    <t>UTL 366</t>
  </si>
  <si>
    <t>Proje Yönetimi</t>
  </si>
  <si>
    <t>Arş.Gör.Dr. IRMAK HATIPOĞLU</t>
  </si>
  <si>
    <t>UTL 370</t>
  </si>
  <si>
    <t>Lojistikte Güncel Konular</t>
  </si>
  <si>
    <t>Öğr.Gör. GÜLSEREN ASLI SEÇMEN</t>
  </si>
  <si>
    <t>Yönetim Bilişim Sistemleri</t>
  </si>
  <si>
    <t>Öğr.Gör. DERYA ÖGE SET</t>
  </si>
  <si>
    <t>Doç.Dr. GÜRAY TONGUÇ</t>
  </si>
  <si>
    <t>Yönetim Bilişim Sistemleri (İÖ)</t>
  </si>
  <si>
    <t>Öğr.Gör. ESRA DÖNÜŞ</t>
  </si>
  <si>
    <t>YBS 152</t>
  </si>
  <si>
    <t>Doç.Dr. CENK TUFAN</t>
  </si>
  <si>
    <t>YBS 154</t>
  </si>
  <si>
    <t>YBS 156</t>
  </si>
  <si>
    <t>YBS 158</t>
  </si>
  <si>
    <t>Veri Yapıları ve Algoritmalar</t>
  </si>
  <si>
    <t>Doç.Dr. KERİM KÜRŞAT ÇEVİK</t>
  </si>
  <si>
    <t>YBS 160</t>
  </si>
  <si>
    <t>YBS 252</t>
  </si>
  <si>
    <t>Doç.Dr. TAYFUN YÖRÜK</t>
  </si>
  <si>
    <t>YBS 254</t>
  </si>
  <si>
    <t>Web Tabanlı Programlama - 2</t>
  </si>
  <si>
    <t>YBS 256</t>
  </si>
  <si>
    <t>Veritabanı Yönetim Sistemleri</t>
  </si>
  <si>
    <t>YBS 258</t>
  </si>
  <si>
    <t>Bilimsel Araştırma Yöntemleri</t>
  </si>
  <si>
    <t>Prof.Dr. Sezgin IRMAK</t>
  </si>
  <si>
    <t>YBS 260</t>
  </si>
  <si>
    <t>Üretim Yönetimi</t>
  </si>
  <si>
    <t>Prof.Dr. ÖMÜR TOSUN</t>
  </si>
  <si>
    <t>YBS 262</t>
  </si>
  <si>
    <t>YBS 264</t>
  </si>
  <si>
    <t>Sistem Analizi ve Tasarımı</t>
  </si>
  <si>
    <t>YBS 266</t>
  </si>
  <si>
    <t>YBS 306</t>
  </si>
  <si>
    <t>Uygulamalı Veri Madenciliği</t>
  </si>
  <si>
    <t>YBS 352</t>
  </si>
  <si>
    <t>Yapay Zekâ ve Makine Öğrenmesi</t>
  </si>
  <si>
    <t>YBS 354</t>
  </si>
  <si>
    <t>YBS 356</t>
  </si>
  <si>
    <t>Yöneylem Araştırması II</t>
  </si>
  <si>
    <t>YBS 358</t>
  </si>
  <si>
    <t>Finansal Yönetim</t>
  </si>
  <si>
    <t>YBS 384</t>
  </si>
  <si>
    <t>Öğr.Gör. MURAT SERDAR EMEK</t>
  </si>
  <si>
    <t>YBS 386</t>
  </si>
  <si>
    <t>YBS 388</t>
  </si>
  <si>
    <t>Kalite Yönetim Sistemleri</t>
  </si>
  <si>
    <t>Dr.Öğr.Üyesi MEHMET SERHAN SEKRETER</t>
  </si>
  <si>
    <t>S</t>
  </si>
  <si>
    <t>Prof.Dr.</t>
  </si>
  <si>
    <t>Doç.Dr.</t>
  </si>
  <si>
    <t>Dr.Öğr.Üyesi</t>
  </si>
  <si>
    <t>Öğr.Gör.Dr.</t>
  </si>
  <si>
    <t>Öğr.Gör.</t>
  </si>
  <si>
    <t>Arş.Gör.Dr.</t>
  </si>
  <si>
    <t>Arş.Gör.</t>
  </si>
  <si>
    <t>Hüseyin</t>
  </si>
  <si>
    <t>TOPUZ</t>
  </si>
  <si>
    <t>AYŞEGÜL</t>
  </si>
  <si>
    <t>CİĞER</t>
  </si>
  <si>
    <t>NURİ</t>
  </si>
  <si>
    <t>AVŞARLIGİL</t>
  </si>
  <si>
    <t>DUYGU</t>
  </si>
  <si>
    <t>TURGUT</t>
  </si>
  <si>
    <t>GÜNEL</t>
  </si>
  <si>
    <t>AHMET</t>
  </si>
  <si>
    <t>KAYA</t>
  </si>
  <si>
    <t>NİHAN</t>
  </si>
  <si>
    <t>ÖKSÜZ</t>
  </si>
  <si>
    <t>NARİNÇ</t>
  </si>
  <si>
    <t>FURKAN</t>
  </si>
  <si>
    <t>YILDIRIM</t>
  </si>
  <si>
    <t>SEDA</t>
  </si>
  <si>
    <t>SÖNMEZ</t>
  </si>
  <si>
    <t>METEHAN</t>
  </si>
  <si>
    <t>YAYKAŞLI</t>
  </si>
  <si>
    <t>ULAŞ</t>
  </si>
  <si>
    <t>ÜNLÜ</t>
  </si>
  <si>
    <t>FİLİZ</t>
  </si>
  <si>
    <t>YETİZ</t>
  </si>
  <si>
    <t>MEHMET</t>
  </si>
  <si>
    <t>KÖYYAR</t>
  </si>
  <si>
    <t>ŞAHİN</t>
  </si>
  <si>
    <t>AKBUNAR</t>
  </si>
  <si>
    <t>İBRAHİM</t>
  </si>
  <si>
    <t>TAYLAN</t>
  </si>
  <si>
    <t>DÖRTYOL</t>
  </si>
  <si>
    <t>NACİ</t>
  </si>
  <si>
    <t>BÜYÜKDAĞ</t>
  </si>
  <si>
    <t>RAİFE</t>
  </si>
  <si>
    <t>MELTEM</t>
  </si>
  <si>
    <t>YETKİN</t>
  </si>
  <si>
    <t>ÖZBÜK</t>
  </si>
  <si>
    <t>NURETTİN</t>
  </si>
  <si>
    <t>MERT</t>
  </si>
  <si>
    <t>BATU</t>
  </si>
  <si>
    <t>AYÇA</t>
  </si>
  <si>
    <t>KANGAL</t>
  </si>
  <si>
    <t>DEMİR</t>
  </si>
  <si>
    <t>HALİL</t>
  </si>
  <si>
    <t>ÖZEKİCİOĞLU</t>
  </si>
  <si>
    <t>ASLI</t>
  </si>
  <si>
    <t>GÜVEN</t>
  </si>
  <si>
    <t>YUNUS</t>
  </si>
  <si>
    <t>KILIÇ</t>
  </si>
  <si>
    <t>TÜRKMEN</t>
  </si>
  <si>
    <t>HATİCE</t>
  </si>
  <si>
    <t>ÖZLEM</t>
  </si>
  <si>
    <t>YALAZ</t>
  </si>
  <si>
    <t>ŞENAY</t>
  </si>
  <si>
    <t>ÖZDEMİR</t>
  </si>
  <si>
    <t>ERSÖZ</t>
  </si>
  <si>
    <t>NİSA</t>
  </si>
  <si>
    <t>EKŞİLİ</t>
  </si>
  <si>
    <t>BENGİ</t>
  </si>
  <si>
    <t>KÜMBÜL</t>
  </si>
  <si>
    <t>UZUNSAKAL</t>
  </si>
  <si>
    <t>TALHA</t>
  </si>
  <si>
    <t>TUNÇ</t>
  </si>
  <si>
    <t>RAMAZAN</t>
  </si>
  <si>
    <t>ERTURGUT</t>
  </si>
  <si>
    <t>ARTUĞ</t>
  </si>
  <si>
    <t>EREN</t>
  </si>
  <si>
    <t>COŞKUN</t>
  </si>
  <si>
    <t>FAHRİYE</t>
  </si>
  <si>
    <t>MERDİVENCİ</t>
  </si>
  <si>
    <t>ATİYE</t>
  </si>
  <si>
    <t>BEYHAN</t>
  </si>
  <si>
    <t>AKAY</t>
  </si>
  <si>
    <t>OSMAN</t>
  </si>
  <si>
    <t>YAKIT</t>
  </si>
  <si>
    <t>İsmail</t>
  </si>
  <si>
    <t>KARAYÜN</t>
  </si>
  <si>
    <t>ŞERİFE</t>
  </si>
  <si>
    <t>GÖZDE</t>
  </si>
  <si>
    <t>YİRMİBEŞOĞLU</t>
  </si>
  <si>
    <t>IRMAK</t>
  </si>
  <si>
    <t>HATIPOĞLU</t>
  </si>
  <si>
    <t>GÜLSEREN</t>
  </si>
  <si>
    <t>SEÇMEN</t>
  </si>
  <si>
    <t>DERYA</t>
  </si>
  <si>
    <t>ÖGE</t>
  </si>
  <si>
    <t>SET</t>
  </si>
  <si>
    <t>GÜRAY</t>
  </si>
  <si>
    <t>TONGUÇ</t>
  </si>
  <si>
    <t>ESRA</t>
  </si>
  <si>
    <t>DÖNÜŞ</t>
  </si>
  <si>
    <t>CENK</t>
  </si>
  <si>
    <t>TUFAN</t>
  </si>
  <si>
    <t>KERİM</t>
  </si>
  <si>
    <t>KÜRŞAT</t>
  </si>
  <si>
    <t>ÇEVİK</t>
  </si>
  <si>
    <t>TAYFUN</t>
  </si>
  <si>
    <t>YÖRÜK</t>
  </si>
  <si>
    <t>Sezgin</t>
  </si>
  <si>
    <t>ÖMÜR</t>
  </si>
  <si>
    <t>TOSUN</t>
  </si>
  <si>
    <t>MURAT</t>
  </si>
  <si>
    <t>SERDAR</t>
  </si>
  <si>
    <t>EMEK</t>
  </si>
  <si>
    <t>SERHAN</t>
  </si>
  <si>
    <t>SEKRETER</t>
  </si>
  <si>
    <t>A</t>
  </si>
  <si>
    <t>B</t>
  </si>
  <si>
    <t>C</t>
  </si>
  <si>
    <t>Ç</t>
  </si>
  <si>
    <t>D</t>
  </si>
  <si>
    <t>E</t>
  </si>
  <si>
    <t>F</t>
  </si>
  <si>
    <t>G</t>
  </si>
  <si>
    <t>Ğ</t>
  </si>
  <si>
    <t>H</t>
  </si>
  <si>
    <t>I</t>
  </si>
  <si>
    <t>İ</t>
  </si>
  <si>
    <t>J</t>
  </si>
  <si>
    <t>K</t>
  </si>
  <si>
    <t>L</t>
  </si>
  <si>
    <t>M</t>
  </si>
  <si>
    <t>N</t>
  </si>
  <si>
    <t>O</t>
  </si>
  <si>
    <t>Ö</t>
  </si>
  <si>
    <t>P</t>
  </si>
  <si>
    <t>R</t>
  </si>
  <si>
    <t>Ş</t>
  </si>
  <si>
    <t>T</t>
  </si>
  <si>
    <t>U</t>
  </si>
  <si>
    <t>Ü</t>
  </si>
  <si>
    <t>V</t>
  </si>
  <si>
    <t>Y</t>
  </si>
  <si>
    <t>W</t>
  </si>
  <si>
    <t>X</t>
  </si>
  <si>
    <t>Q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</si>
  <si>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</si>
  <si>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</si>
  <si>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</si>
  <si>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</si>
  <si>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</si>
  <si>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</si>
  <si>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</si>
  <si>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</si>
  <si>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</si>
  <si>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</si>
  <si>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</si>
  <si>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</si>
  <si>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</si>
  <si>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</si>
  <si>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</si>
  <si>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</si>
  <si>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</si>
  <si>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</si>
  <si>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</si>
  <si>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v</t>
  </si>
  <si>
    <t>y</t>
  </si>
  <si>
    <t>3750338</t>
  </si>
  <si>
    <t>2750113</t>
  </si>
  <si>
    <t>2400356</t>
  </si>
  <si>
    <t>4565554</t>
  </si>
  <si>
    <t>2540145</t>
  </si>
  <si>
    <t>2556335</t>
  </si>
  <si>
    <t>2680031</t>
  </si>
  <si>
    <t>2460217</t>
  </si>
  <si>
    <t>5780238</t>
  </si>
  <si>
    <t>2440530</t>
  </si>
  <si>
    <t>2550042</t>
  </si>
  <si>
    <t>4660242</t>
  </si>
  <si>
    <t>5570334</t>
  </si>
  <si>
    <t>2767522</t>
  </si>
  <si>
    <t>2480350</t>
  </si>
  <si>
    <t>2566164</t>
  </si>
  <si>
    <t>3844334</t>
  </si>
  <si>
    <t>4465113</t>
  </si>
  <si>
    <t>2510318</t>
  </si>
  <si>
    <t>7450141</t>
  </si>
  <si>
    <t>2550322</t>
  </si>
  <si>
    <t>2570142</t>
  </si>
  <si>
    <t>3655367</t>
  </si>
  <si>
    <t>5575334</t>
  </si>
  <si>
    <t>2460310</t>
  </si>
  <si>
    <t>5569253</t>
  </si>
  <si>
    <t>5540411</t>
  </si>
  <si>
    <t>1780136</t>
  </si>
  <si>
    <t>6546123</t>
  </si>
  <si>
    <t>1700063</t>
  </si>
  <si>
    <t>2564167</t>
  </si>
  <si>
    <t>4550431</t>
  </si>
  <si>
    <t>4670514</t>
  </si>
  <si>
    <t>1652363</t>
  </si>
  <si>
    <t>6590408</t>
  </si>
  <si>
    <t>5846132</t>
  </si>
  <si>
    <t>5533516</t>
  </si>
  <si>
    <t>2560131</t>
  </si>
  <si>
    <t>5450613</t>
  </si>
  <si>
    <t>2450302</t>
  </si>
  <si>
    <t>2565028</t>
  </si>
  <si>
    <t>2650432</t>
  </si>
  <si>
    <t>1650231</t>
  </si>
  <si>
    <t>1450512</t>
  </si>
  <si>
    <t>5564242</t>
  </si>
  <si>
    <t>3668244</t>
  </si>
  <si>
    <t>Öğretim Elemanı</t>
  </si>
  <si>
    <t>ID</t>
  </si>
  <si>
    <t>Bilgisayar Tabanlı Optimizasyon</t>
  </si>
  <si>
    <t>Veri İletişimi ve Bilgisayar Ağları</t>
  </si>
  <si>
    <t>Nesne Yönelimli Programlama - 2</t>
  </si>
  <si>
    <t>Bilgisayar Donanımı ve İşletim Sistemleri</t>
  </si>
  <si>
    <t>Özel ve Tehlikeli Madde Taşımacılığı</t>
  </si>
  <si>
    <t>Nakliyat ve Lojistik Sigortaları</t>
  </si>
  <si>
    <t>Lojistik ve Tedarik Zinciri Yönetimi</t>
  </si>
  <si>
    <t>İnovasyon ve Yeni Ürün Geliştirme</t>
  </si>
  <si>
    <t>Dış Ticaret ve Kambiyo İşlemleri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</si>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</sst>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0"/>
      <color rgb="FF00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2" borderId="0" xfId="0" applyFill="1"/>
    <xf numFmtId="0" fontId="1" fillId="0" borderId="1" xfId="0" applyFont="1" applyBorder="1" applyAlignment="1">
      <alignment horizontal="right" vertical="top"/>
    </xf>
  </cellXfs>
  <cellStyles count="2">
    <cellStyle name="Normal" xfId="0" builtinId="0"/>
    <cellStyle name="Normal 2" xfId="1" xr:uid="{D2AB88BC-90A3-4730-A536-6D429B09B6B6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EDD957-7EF3-4366-B03A-D9037F82AA6E}" name="Table1" displayName="Table1" ref="A1:J135" totalsRowShown="0" headerRowDxfId="5" headerRowBorderDxfId="4" tableBorderDxfId="3">
  <autoFilter ref="A1:J135" xr:uid="{E8EDD957-7EF3-4366-B03A-D9037F82AA6E}"/>
  <tableColumns count="10">
    <tableColumn id="1" xr3:uid="{A05CD04D-6FA3-4591-B42E-CB2EF36A0E3E}" name="DepartmentName"/>
    <tableColumn id="2" xr3:uid="{CE2144DD-442E-4A79-9FE6-E901459DA789}" name="CourseCode"/>
    <tableColumn id="3" xr3:uid="{AC4FD637-09C1-4830-8DA1-749C564A7A99}" name="CourseName"/>
    <tableColumn id="4" xr3:uid="{93B79111-976F-4EAD-AB37-E6EB8FC15FA9}" name="AKTS"/>
    <tableColumn id="5" xr3:uid="{7D414748-1FF9-4B6F-BB01-C08B8FC9C389}" name="KREDI"/>
    <tableColumn id="6" xr3:uid="{9C9F64AA-DA6C-46EF-88F8-BD223BAA5CE9}" name="Lab"/>
    <tableColumn id="7" xr3:uid="{7960D4C0-903A-4142-B371-97E7DF0A522D}" name="SINIF"/>
    <tableColumn id="10" xr3:uid="{AB7A0D46-8F57-40E6-8239-99A02FEE5DA2}" name="ZOR_SEC" dataDxfId="2"/>
    <tableColumn id="11" xr3:uid="{CA06AE28-F47A-4407-8B16-7369FE5008A0}" name="InstructorUserId"/>
    <tableColumn id="12" xr3:uid="{34CBF139-E63D-4607-99AB-E6FCA31B33E3}" name="OgrenciSayisi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"/>
  <sheetViews>
    <sheetView tabSelected="1" zoomScaleNormal="100" workbookViewId="0">
      <selection activeCell="I1" sqref="I1"/>
    </sheetView>
  </sheetViews>
  <sheetFormatPr defaultRowHeight="14.25" x14ac:dyDescent="0.45"/>
  <cols>
    <col min="1" max="1" width="31.3984375" bestFit="1" customWidth="1"/>
    <col min="2" max="2" width="12.86328125" customWidth="1"/>
    <col min="3" max="3" width="37.59765625" bestFit="1" customWidth="1"/>
    <col min="4" max="4" width="10" bestFit="1" customWidth="1"/>
    <col min="5" max="5" width="10.73046875" bestFit="1" customWidth="1"/>
    <col min="6" max="6" width="26" bestFit="1" customWidth="1"/>
    <col min="7" max="7" width="10.1328125" bestFit="1" customWidth="1"/>
    <col min="8" max="8" width="10" style="3" customWidth="1"/>
    <col min="9" max="9" width="20.1328125" bestFit="1" customWidth="1"/>
    <col min="10" max="10" width="17.39843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466</v>
      </c>
      <c r="G1" s="1" t="s">
        <v>5</v>
      </c>
      <c r="H1" s="5" t="s">
        <v>6</v>
      </c>
      <c r="I1" s="2" t="s">
        <v>7</v>
      </c>
      <c r="J1" s="1" t="s">
        <v>8</v>
      </c>
    </row>
    <row r="2" spans="1:10" x14ac:dyDescent="0.45">
      <c r="A2" t="s">
        <v>12</v>
      </c>
      <c r="B2" t="s">
        <v>10</v>
      </c>
      <c r="C2" t="s">
        <v>11</v>
      </c>
      <c r="D2">
        <v>5</v>
      </c>
      <c r="E2">
        <v>3</v>
      </c>
      <c r="F2">
        <v>0</v>
      </c>
      <c r="G2">
        <v>1</v>
      </c>
      <c r="H2" s="3" t="s">
        <v>9</v>
      </c>
      <c r="I2">
        <v>3750338</v>
      </c>
      <c r="J2">
        <v>96</v>
      </c>
    </row>
    <row r="3" spans="1:10" x14ac:dyDescent="0.45">
      <c r="A3" t="s">
        <v>12</v>
      </c>
      <c r="B3" t="s">
        <v>14</v>
      </c>
      <c r="C3" t="s">
        <v>15</v>
      </c>
      <c r="D3">
        <v>5</v>
      </c>
      <c r="E3">
        <v>3</v>
      </c>
      <c r="F3">
        <v>0</v>
      </c>
      <c r="G3">
        <v>1</v>
      </c>
      <c r="H3" s="3" t="s">
        <v>9</v>
      </c>
      <c r="I3">
        <v>2750113</v>
      </c>
      <c r="J3">
        <v>107</v>
      </c>
    </row>
    <row r="4" spans="1:10" x14ac:dyDescent="0.45">
      <c r="A4" t="s">
        <v>12</v>
      </c>
      <c r="B4" t="s">
        <v>17</v>
      </c>
      <c r="C4" t="s">
        <v>18</v>
      </c>
      <c r="D4">
        <v>4</v>
      </c>
      <c r="E4">
        <v>3</v>
      </c>
      <c r="F4">
        <v>0</v>
      </c>
      <c r="G4">
        <v>1</v>
      </c>
      <c r="H4" s="3" t="s">
        <v>9</v>
      </c>
      <c r="I4">
        <v>2400356</v>
      </c>
      <c r="J4">
        <v>114</v>
      </c>
    </row>
    <row r="5" spans="1:10" x14ac:dyDescent="0.45">
      <c r="A5" t="s">
        <v>12</v>
      </c>
      <c r="B5" t="s">
        <v>20</v>
      </c>
      <c r="C5" t="s">
        <v>21</v>
      </c>
      <c r="D5">
        <v>4</v>
      </c>
      <c r="E5">
        <v>3</v>
      </c>
      <c r="F5">
        <v>0</v>
      </c>
      <c r="G5">
        <v>1</v>
      </c>
      <c r="H5" s="3" t="s">
        <v>9</v>
      </c>
      <c r="I5">
        <v>4565554</v>
      </c>
      <c r="J5">
        <v>99</v>
      </c>
    </row>
    <row r="6" spans="1:10" x14ac:dyDescent="0.45">
      <c r="A6" t="s">
        <v>12</v>
      </c>
      <c r="B6" t="s">
        <v>23</v>
      </c>
      <c r="C6" t="s">
        <v>24</v>
      </c>
      <c r="D6">
        <v>5</v>
      </c>
      <c r="E6">
        <v>3</v>
      </c>
      <c r="F6">
        <v>0</v>
      </c>
      <c r="G6">
        <v>2</v>
      </c>
      <c r="H6" s="3" t="s">
        <v>9</v>
      </c>
      <c r="I6">
        <v>2540145</v>
      </c>
      <c r="J6">
        <v>64</v>
      </c>
    </row>
    <row r="7" spans="1:10" x14ac:dyDescent="0.45">
      <c r="A7" t="s">
        <v>12</v>
      </c>
      <c r="B7" t="s">
        <v>26</v>
      </c>
      <c r="C7" t="s">
        <v>27</v>
      </c>
      <c r="D7">
        <v>5</v>
      </c>
      <c r="E7">
        <v>3</v>
      </c>
      <c r="F7">
        <v>0</v>
      </c>
      <c r="G7">
        <v>2</v>
      </c>
      <c r="H7" s="3" t="s">
        <v>9</v>
      </c>
      <c r="I7">
        <v>2400356</v>
      </c>
      <c r="J7">
        <v>67</v>
      </c>
    </row>
    <row r="8" spans="1:10" x14ac:dyDescent="0.45">
      <c r="A8" t="s">
        <v>12</v>
      </c>
      <c r="B8" t="s">
        <v>28</v>
      </c>
      <c r="C8" t="s">
        <v>29</v>
      </c>
      <c r="D8">
        <v>4</v>
      </c>
      <c r="E8">
        <v>3</v>
      </c>
      <c r="F8">
        <v>0</v>
      </c>
      <c r="G8">
        <v>2</v>
      </c>
      <c r="H8" s="3" t="s">
        <v>9</v>
      </c>
      <c r="I8">
        <v>2556335</v>
      </c>
      <c r="J8">
        <v>93</v>
      </c>
    </row>
    <row r="9" spans="1:10" x14ac:dyDescent="0.45">
      <c r="A9" t="s">
        <v>12</v>
      </c>
      <c r="B9" t="s">
        <v>31</v>
      </c>
      <c r="C9" t="s">
        <v>32</v>
      </c>
      <c r="D9">
        <v>4</v>
      </c>
      <c r="E9">
        <v>3</v>
      </c>
      <c r="F9">
        <v>1</v>
      </c>
      <c r="G9">
        <v>2</v>
      </c>
      <c r="H9" s="3" t="s">
        <v>9</v>
      </c>
      <c r="I9">
        <v>2556335</v>
      </c>
      <c r="J9">
        <v>105</v>
      </c>
    </row>
    <row r="10" spans="1:10" x14ac:dyDescent="0.45">
      <c r="A10" t="s">
        <v>12</v>
      </c>
      <c r="B10" t="s">
        <v>33</v>
      </c>
      <c r="C10" t="s">
        <v>34</v>
      </c>
      <c r="D10">
        <v>4</v>
      </c>
      <c r="E10">
        <v>3</v>
      </c>
      <c r="F10">
        <v>0</v>
      </c>
      <c r="G10">
        <v>2</v>
      </c>
      <c r="H10" s="3" t="s">
        <v>9</v>
      </c>
      <c r="I10">
        <v>2680031</v>
      </c>
      <c r="J10">
        <v>72</v>
      </c>
    </row>
    <row r="11" spans="1:10" x14ac:dyDescent="0.45">
      <c r="A11" t="s">
        <v>12</v>
      </c>
      <c r="B11" t="s">
        <v>36</v>
      </c>
      <c r="C11" t="s">
        <v>465</v>
      </c>
      <c r="D11">
        <v>4</v>
      </c>
      <c r="E11">
        <v>3</v>
      </c>
      <c r="F11">
        <v>0</v>
      </c>
      <c r="G11">
        <v>2</v>
      </c>
      <c r="H11" s="3" t="s">
        <v>244</v>
      </c>
      <c r="I11">
        <v>2680031</v>
      </c>
      <c r="J11">
        <v>26</v>
      </c>
    </row>
    <row r="12" spans="1:10" x14ac:dyDescent="0.45">
      <c r="A12" t="s">
        <v>12</v>
      </c>
      <c r="B12" t="s">
        <v>37</v>
      </c>
      <c r="C12" t="s">
        <v>38</v>
      </c>
      <c r="D12">
        <v>4</v>
      </c>
      <c r="E12">
        <v>3</v>
      </c>
      <c r="F12">
        <v>0</v>
      </c>
      <c r="G12">
        <v>2</v>
      </c>
      <c r="H12" s="3" t="s">
        <v>244</v>
      </c>
      <c r="I12">
        <v>2540145</v>
      </c>
      <c r="J12">
        <v>51</v>
      </c>
    </row>
    <row r="13" spans="1:10" x14ac:dyDescent="0.45">
      <c r="A13" t="s">
        <v>12</v>
      </c>
      <c r="B13" t="s">
        <v>39</v>
      </c>
      <c r="C13" t="s">
        <v>40</v>
      </c>
      <c r="D13">
        <v>4</v>
      </c>
      <c r="E13">
        <v>3</v>
      </c>
      <c r="F13">
        <v>0</v>
      </c>
      <c r="G13">
        <v>2</v>
      </c>
      <c r="H13" s="3" t="s">
        <v>244</v>
      </c>
      <c r="I13">
        <v>2460217</v>
      </c>
      <c r="J13">
        <v>21</v>
      </c>
    </row>
    <row r="14" spans="1:10" x14ac:dyDescent="0.45">
      <c r="A14" t="s">
        <v>12</v>
      </c>
      <c r="B14" t="s">
        <v>42</v>
      </c>
      <c r="C14" t="s">
        <v>43</v>
      </c>
      <c r="D14">
        <v>4</v>
      </c>
      <c r="E14">
        <v>3</v>
      </c>
      <c r="F14">
        <v>0</v>
      </c>
      <c r="G14">
        <v>2</v>
      </c>
      <c r="H14" s="3" t="s">
        <v>244</v>
      </c>
      <c r="I14">
        <v>5780238</v>
      </c>
      <c r="J14">
        <v>41</v>
      </c>
    </row>
    <row r="15" spans="1:10" x14ac:dyDescent="0.45">
      <c r="A15" t="s">
        <v>12</v>
      </c>
      <c r="B15" t="s">
        <v>45</v>
      </c>
      <c r="C15" t="s">
        <v>46</v>
      </c>
      <c r="D15">
        <v>5</v>
      </c>
      <c r="E15">
        <v>3</v>
      </c>
      <c r="F15">
        <v>0</v>
      </c>
      <c r="G15">
        <v>3</v>
      </c>
      <c r="H15" s="3" t="s">
        <v>9</v>
      </c>
      <c r="I15">
        <v>2440530</v>
      </c>
      <c r="J15">
        <v>53</v>
      </c>
    </row>
    <row r="16" spans="1:10" x14ac:dyDescent="0.45">
      <c r="A16" t="s">
        <v>12</v>
      </c>
      <c r="B16" t="s">
        <v>48</v>
      </c>
      <c r="C16" t="s">
        <v>49</v>
      </c>
      <c r="D16">
        <v>5</v>
      </c>
      <c r="E16">
        <v>3</v>
      </c>
      <c r="F16">
        <v>0</v>
      </c>
      <c r="G16">
        <v>3</v>
      </c>
      <c r="H16" s="3" t="s">
        <v>9</v>
      </c>
      <c r="I16">
        <v>2400356</v>
      </c>
      <c r="J16">
        <v>68</v>
      </c>
    </row>
    <row r="17" spans="1:10" x14ac:dyDescent="0.45">
      <c r="A17" t="s">
        <v>12</v>
      </c>
      <c r="B17" t="s">
        <v>50</v>
      </c>
      <c r="C17" t="s">
        <v>51</v>
      </c>
      <c r="D17">
        <v>4</v>
      </c>
      <c r="E17">
        <v>3</v>
      </c>
      <c r="F17">
        <v>0</v>
      </c>
      <c r="G17">
        <v>3</v>
      </c>
      <c r="H17" s="3" t="s">
        <v>9</v>
      </c>
      <c r="I17">
        <v>2440530</v>
      </c>
      <c r="J17">
        <v>48</v>
      </c>
    </row>
    <row r="18" spans="1:10" x14ac:dyDescent="0.45">
      <c r="A18" t="s">
        <v>12</v>
      </c>
      <c r="B18" t="s">
        <v>52</v>
      </c>
      <c r="C18" t="s">
        <v>53</v>
      </c>
      <c r="D18">
        <v>4</v>
      </c>
      <c r="E18">
        <v>3</v>
      </c>
      <c r="F18">
        <v>0</v>
      </c>
      <c r="G18">
        <v>3</v>
      </c>
      <c r="H18" s="3" t="s">
        <v>9</v>
      </c>
      <c r="I18">
        <v>2550042</v>
      </c>
      <c r="J18">
        <v>49</v>
      </c>
    </row>
    <row r="19" spans="1:10" x14ac:dyDescent="0.45">
      <c r="A19" t="s">
        <v>12</v>
      </c>
      <c r="B19" t="s">
        <v>55</v>
      </c>
      <c r="C19" t="s">
        <v>56</v>
      </c>
      <c r="D19">
        <v>4</v>
      </c>
      <c r="E19">
        <v>3</v>
      </c>
      <c r="F19">
        <v>0</v>
      </c>
      <c r="G19">
        <v>3</v>
      </c>
      <c r="H19" s="3" t="s">
        <v>9</v>
      </c>
      <c r="I19">
        <v>2550042</v>
      </c>
      <c r="J19">
        <v>42</v>
      </c>
    </row>
    <row r="20" spans="1:10" x14ac:dyDescent="0.45">
      <c r="A20" t="s">
        <v>12</v>
      </c>
      <c r="B20" t="s">
        <v>57</v>
      </c>
      <c r="C20" t="s">
        <v>58</v>
      </c>
      <c r="D20">
        <v>4</v>
      </c>
      <c r="E20">
        <v>3</v>
      </c>
      <c r="F20">
        <v>0</v>
      </c>
      <c r="G20">
        <v>3</v>
      </c>
      <c r="H20" s="3" t="s">
        <v>244</v>
      </c>
      <c r="I20">
        <v>2440530</v>
      </c>
      <c r="J20">
        <v>32</v>
      </c>
    </row>
    <row r="21" spans="1:10" x14ac:dyDescent="0.45">
      <c r="A21" t="s">
        <v>12</v>
      </c>
      <c r="B21" t="s">
        <v>59</v>
      </c>
      <c r="C21" t="s">
        <v>60</v>
      </c>
      <c r="D21">
        <v>4</v>
      </c>
      <c r="E21">
        <v>3</v>
      </c>
      <c r="F21">
        <v>0</v>
      </c>
      <c r="G21">
        <v>3</v>
      </c>
      <c r="H21" s="3" t="s">
        <v>244</v>
      </c>
      <c r="I21">
        <v>2750113</v>
      </c>
      <c r="J21">
        <v>46</v>
      </c>
    </row>
    <row r="22" spans="1:10" x14ac:dyDescent="0.45">
      <c r="A22" t="s">
        <v>12</v>
      </c>
      <c r="B22" t="s">
        <v>61</v>
      </c>
      <c r="C22" t="s">
        <v>62</v>
      </c>
      <c r="D22">
        <v>4</v>
      </c>
      <c r="E22">
        <v>3</v>
      </c>
      <c r="F22">
        <v>0</v>
      </c>
      <c r="G22">
        <v>3</v>
      </c>
      <c r="H22" s="3" t="s">
        <v>244</v>
      </c>
      <c r="I22">
        <v>2460217</v>
      </c>
      <c r="J22">
        <v>22</v>
      </c>
    </row>
    <row r="23" spans="1:10" x14ac:dyDescent="0.45">
      <c r="A23" t="s">
        <v>12</v>
      </c>
      <c r="B23" t="s">
        <v>64</v>
      </c>
      <c r="C23" t="s">
        <v>65</v>
      </c>
      <c r="D23">
        <v>2</v>
      </c>
      <c r="E23">
        <v>2</v>
      </c>
      <c r="F23">
        <v>0</v>
      </c>
      <c r="G23">
        <v>3</v>
      </c>
      <c r="H23" s="3" t="s">
        <v>9</v>
      </c>
      <c r="I23">
        <v>2460217</v>
      </c>
      <c r="J23">
        <v>38</v>
      </c>
    </row>
    <row r="24" spans="1:10" x14ac:dyDescent="0.45">
      <c r="A24" t="s">
        <v>68</v>
      </c>
      <c r="B24" t="s">
        <v>66</v>
      </c>
      <c r="C24" t="s">
        <v>67</v>
      </c>
      <c r="D24">
        <v>2</v>
      </c>
      <c r="E24">
        <v>2</v>
      </c>
      <c r="F24">
        <v>0</v>
      </c>
      <c r="G24">
        <v>1</v>
      </c>
      <c r="H24" s="3" t="s">
        <v>244</v>
      </c>
      <c r="I24">
        <v>5570334</v>
      </c>
      <c r="J24">
        <v>21</v>
      </c>
    </row>
    <row r="25" spans="1:10" x14ac:dyDescent="0.45">
      <c r="A25" t="s">
        <v>68</v>
      </c>
      <c r="B25" t="s">
        <v>70</v>
      </c>
      <c r="C25" t="s">
        <v>71</v>
      </c>
      <c r="D25">
        <v>2</v>
      </c>
      <c r="E25">
        <v>1</v>
      </c>
      <c r="F25">
        <v>0</v>
      </c>
      <c r="G25">
        <v>1</v>
      </c>
      <c r="H25" s="3" t="s">
        <v>9</v>
      </c>
      <c r="I25">
        <v>2767522</v>
      </c>
      <c r="J25">
        <v>36</v>
      </c>
    </row>
    <row r="26" spans="1:10" x14ac:dyDescent="0.45">
      <c r="A26" t="s">
        <v>73</v>
      </c>
      <c r="B26" t="s">
        <v>70</v>
      </c>
      <c r="C26" t="s">
        <v>71</v>
      </c>
      <c r="D26">
        <v>2</v>
      </c>
      <c r="E26">
        <v>1</v>
      </c>
      <c r="F26">
        <v>0</v>
      </c>
      <c r="G26">
        <v>1</v>
      </c>
      <c r="H26" s="3" t="s">
        <v>9</v>
      </c>
      <c r="I26">
        <v>2767522</v>
      </c>
      <c r="J26">
        <v>8</v>
      </c>
    </row>
    <row r="27" spans="1:10" x14ac:dyDescent="0.45">
      <c r="A27" t="s">
        <v>68</v>
      </c>
      <c r="B27" t="s">
        <v>74</v>
      </c>
      <c r="C27" t="s">
        <v>75</v>
      </c>
      <c r="D27">
        <v>6</v>
      </c>
      <c r="E27">
        <v>3</v>
      </c>
      <c r="F27">
        <v>0</v>
      </c>
      <c r="G27">
        <v>1</v>
      </c>
      <c r="H27" s="3" t="s">
        <v>9</v>
      </c>
      <c r="I27">
        <v>2767522</v>
      </c>
      <c r="J27">
        <v>17</v>
      </c>
    </row>
    <row r="28" spans="1:10" x14ac:dyDescent="0.45">
      <c r="A28" t="s">
        <v>73</v>
      </c>
      <c r="B28" t="s">
        <v>74</v>
      </c>
      <c r="C28" t="s">
        <v>76</v>
      </c>
      <c r="D28">
        <v>6</v>
      </c>
      <c r="E28">
        <v>3</v>
      </c>
      <c r="F28">
        <v>0</v>
      </c>
      <c r="G28">
        <v>1</v>
      </c>
      <c r="H28" s="3" t="s">
        <v>9</v>
      </c>
      <c r="I28">
        <v>2767522</v>
      </c>
      <c r="J28">
        <v>9</v>
      </c>
    </row>
    <row r="29" spans="1:10" x14ac:dyDescent="0.45">
      <c r="A29" t="s">
        <v>68</v>
      </c>
      <c r="B29" t="s">
        <v>77</v>
      </c>
      <c r="C29" t="s">
        <v>78</v>
      </c>
      <c r="D29">
        <v>4</v>
      </c>
      <c r="E29">
        <v>3</v>
      </c>
      <c r="F29">
        <v>0</v>
      </c>
      <c r="G29">
        <v>1</v>
      </c>
      <c r="H29" s="3" t="s">
        <v>9</v>
      </c>
      <c r="I29">
        <v>2767522</v>
      </c>
      <c r="J29">
        <v>16</v>
      </c>
    </row>
    <row r="30" spans="1:10" x14ac:dyDescent="0.45">
      <c r="A30" t="s">
        <v>73</v>
      </c>
      <c r="B30" t="s">
        <v>77</v>
      </c>
      <c r="C30" t="s">
        <v>78</v>
      </c>
      <c r="D30">
        <v>4</v>
      </c>
      <c r="E30">
        <v>3</v>
      </c>
      <c r="F30">
        <v>0</v>
      </c>
      <c r="G30">
        <v>1</v>
      </c>
      <c r="H30" s="3" t="s">
        <v>9</v>
      </c>
      <c r="I30">
        <v>2767522</v>
      </c>
      <c r="J30">
        <v>6</v>
      </c>
    </row>
    <row r="31" spans="1:10" x14ac:dyDescent="0.45">
      <c r="A31" t="s">
        <v>68</v>
      </c>
      <c r="B31" t="s">
        <v>79</v>
      </c>
      <c r="C31" t="s">
        <v>80</v>
      </c>
      <c r="D31">
        <v>5</v>
      </c>
      <c r="E31">
        <v>3</v>
      </c>
      <c r="F31">
        <v>0</v>
      </c>
      <c r="G31">
        <v>1</v>
      </c>
      <c r="H31" s="3" t="s">
        <v>9</v>
      </c>
      <c r="I31">
        <v>2767522</v>
      </c>
      <c r="J31">
        <v>9</v>
      </c>
    </row>
    <row r="32" spans="1:10" x14ac:dyDescent="0.45">
      <c r="A32" t="s">
        <v>73</v>
      </c>
      <c r="B32" t="s">
        <v>79</v>
      </c>
      <c r="C32" t="s">
        <v>80</v>
      </c>
      <c r="D32">
        <v>5</v>
      </c>
      <c r="E32">
        <v>3</v>
      </c>
      <c r="F32">
        <v>0</v>
      </c>
      <c r="G32">
        <v>1</v>
      </c>
      <c r="H32" s="3" t="s">
        <v>9</v>
      </c>
      <c r="I32">
        <v>2767522</v>
      </c>
      <c r="J32">
        <v>7</v>
      </c>
    </row>
    <row r="33" spans="1:10" x14ac:dyDescent="0.45">
      <c r="A33" t="s">
        <v>68</v>
      </c>
      <c r="B33" t="s">
        <v>81</v>
      </c>
      <c r="C33" t="s">
        <v>82</v>
      </c>
      <c r="D33">
        <v>3</v>
      </c>
      <c r="E33">
        <v>3</v>
      </c>
      <c r="F33">
        <v>0</v>
      </c>
      <c r="G33">
        <v>1</v>
      </c>
      <c r="H33" s="3" t="s">
        <v>9</v>
      </c>
      <c r="I33">
        <v>2767522</v>
      </c>
      <c r="J33">
        <v>8</v>
      </c>
    </row>
    <row r="34" spans="1:10" x14ac:dyDescent="0.45">
      <c r="A34" t="s">
        <v>73</v>
      </c>
      <c r="B34" t="s">
        <v>81</v>
      </c>
      <c r="C34" t="s">
        <v>82</v>
      </c>
      <c r="D34">
        <v>3</v>
      </c>
      <c r="E34">
        <v>3</v>
      </c>
      <c r="F34">
        <v>0</v>
      </c>
      <c r="G34">
        <v>1</v>
      </c>
      <c r="H34" s="3" t="s">
        <v>9</v>
      </c>
      <c r="I34">
        <v>2767522</v>
      </c>
      <c r="J34">
        <v>4</v>
      </c>
    </row>
    <row r="35" spans="1:10" x14ac:dyDescent="0.45">
      <c r="A35" t="s">
        <v>68</v>
      </c>
      <c r="B35" t="s">
        <v>83</v>
      </c>
      <c r="C35" t="s">
        <v>84</v>
      </c>
      <c r="D35">
        <v>6</v>
      </c>
      <c r="E35">
        <v>3</v>
      </c>
      <c r="F35">
        <v>0</v>
      </c>
      <c r="G35">
        <v>2</v>
      </c>
      <c r="H35" s="3" t="s">
        <v>9</v>
      </c>
      <c r="I35">
        <v>2480350</v>
      </c>
      <c r="J35">
        <v>80</v>
      </c>
    </row>
    <row r="36" spans="1:10" x14ac:dyDescent="0.45">
      <c r="A36" t="s">
        <v>68</v>
      </c>
      <c r="B36" t="s">
        <v>86</v>
      </c>
      <c r="C36" t="s">
        <v>87</v>
      </c>
      <c r="D36">
        <v>5</v>
      </c>
      <c r="E36">
        <v>3</v>
      </c>
      <c r="F36">
        <v>0</v>
      </c>
      <c r="G36">
        <v>2</v>
      </c>
      <c r="H36" s="3" t="s">
        <v>9</v>
      </c>
      <c r="I36">
        <v>2566164</v>
      </c>
      <c r="J36">
        <v>78</v>
      </c>
    </row>
    <row r="37" spans="1:10" x14ac:dyDescent="0.45">
      <c r="A37" t="s">
        <v>68</v>
      </c>
      <c r="B37" t="s">
        <v>89</v>
      </c>
      <c r="C37" t="s">
        <v>90</v>
      </c>
      <c r="D37">
        <v>6</v>
      </c>
      <c r="E37">
        <v>3</v>
      </c>
      <c r="F37">
        <v>0</v>
      </c>
      <c r="G37">
        <v>2</v>
      </c>
      <c r="H37" s="3" t="s">
        <v>9</v>
      </c>
      <c r="I37">
        <v>3844334</v>
      </c>
      <c r="J37">
        <v>75</v>
      </c>
    </row>
    <row r="38" spans="1:10" x14ac:dyDescent="0.45">
      <c r="A38" t="s">
        <v>68</v>
      </c>
      <c r="B38" t="s">
        <v>92</v>
      </c>
      <c r="C38" t="s">
        <v>93</v>
      </c>
      <c r="D38">
        <v>4</v>
      </c>
      <c r="E38">
        <v>3</v>
      </c>
      <c r="F38">
        <v>0</v>
      </c>
      <c r="G38">
        <v>2</v>
      </c>
      <c r="H38" s="3" t="s">
        <v>9</v>
      </c>
      <c r="I38">
        <v>4465113</v>
      </c>
      <c r="J38">
        <v>98</v>
      </c>
    </row>
    <row r="39" spans="1:10" x14ac:dyDescent="0.45">
      <c r="A39" t="s">
        <v>68</v>
      </c>
      <c r="B39" t="s">
        <v>95</v>
      </c>
      <c r="C39" t="s">
        <v>32</v>
      </c>
      <c r="D39">
        <v>4</v>
      </c>
      <c r="E39">
        <v>3</v>
      </c>
      <c r="F39">
        <v>0</v>
      </c>
      <c r="G39">
        <v>2</v>
      </c>
      <c r="H39" s="3" t="s">
        <v>9</v>
      </c>
      <c r="I39">
        <v>2566164</v>
      </c>
      <c r="J39">
        <v>131</v>
      </c>
    </row>
    <row r="40" spans="1:10" x14ac:dyDescent="0.45">
      <c r="A40" t="s">
        <v>68</v>
      </c>
      <c r="B40" t="s">
        <v>96</v>
      </c>
      <c r="C40" t="s">
        <v>15</v>
      </c>
      <c r="D40">
        <v>3</v>
      </c>
      <c r="E40">
        <v>3</v>
      </c>
      <c r="F40">
        <v>0</v>
      </c>
      <c r="G40">
        <v>2</v>
      </c>
      <c r="H40" s="3" t="s">
        <v>9</v>
      </c>
      <c r="I40">
        <v>2680031</v>
      </c>
      <c r="J40">
        <v>87</v>
      </c>
    </row>
    <row r="41" spans="1:10" x14ac:dyDescent="0.45">
      <c r="A41" t="s">
        <v>68</v>
      </c>
      <c r="B41" t="s">
        <v>97</v>
      </c>
      <c r="C41" t="s">
        <v>98</v>
      </c>
      <c r="D41">
        <v>3</v>
      </c>
      <c r="E41">
        <v>3</v>
      </c>
      <c r="F41">
        <v>0</v>
      </c>
      <c r="G41">
        <v>3</v>
      </c>
      <c r="H41" s="3" t="s">
        <v>9</v>
      </c>
      <c r="I41">
        <v>2510318</v>
      </c>
      <c r="J41">
        <v>30</v>
      </c>
    </row>
    <row r="42" spans="1:10" x14ac:dyDescent="0.45">
      <c r="A42" t="s">
        <v>73</v>
      </c>
      <c r="B42" t="s">
        <v>97</v>
      </c>
      <c r="C42" t="s">
        <v>98</v>
      </c>
      <c r="D42">
        <v>3</v>
      </c>
      <c r="E42">
        <v>3</v>
      </c>
      <c r="F42">
        <v>0</v>
      </c>
      <c r="G42">
        <v>3</v>
      </c>
      <c r="H42" s="3" t="s">
        <v>244</v>
      </c>
      <c r="I42">
        <v>2510318</v>
      </c>
      <c r="J42">
        <v>29</v>
      </c>
    </row>
    <row r="43" spans="1:10" x14ac:dyDescent="0.45">
      <c r="A43" t="s">
        <v>68</v>
      </c>
      <c r="B43" t="s">
        <v>100</v>
      </c>
      <c r="C43" t="s">
        <v>101</v>
      </c>
      <c r="D43">
        <v>6</v>
      </c>
      <c r="E43">
        <v>3</v>
      </c>
      <c r="F43">
        <v>0</v>
      </c>
      <c r="G43">
        <v>3</v>
      </c>
      <c r="H43" s="3" t="s">
        <v>9</v>
      </c>
      <c r="I43">
        <v>3844334</v>
      </c>
      <c r="J43">
        <v>43</v>
      </c>
    </row>
    <row r="44" spans="1:10" x14ac:dyDescent="0.45">
      <c r="A44" t="s">
        <v>73</v>
      </c>
      <c r="B44" t="s">
        <v>100</v>
      </c>
      <c r="C44" t="s">
        <v>101</v>
      </c>
      <c r="D44">
        <v>6</v>
      </c>
      <c r="E44">
        <v>3</v>
      </c>
      <c r="F44">
        <v>0</v>
      </c>
      <c r="G44">
        <v>3</v>
      </c>
      <c r="H44" s="3" t="s">
        <v>9</v>
      </c>
      <c r="I44">
        <v>3844334</v>
      </c>
      <c r="J44">
        <v>31</v>
      </c>
    </row>
    <row r="45" spans="1:10" x14ac:dyDescent="0.45">
      <c r="A45" t="s">
        <v>68</v>
      </c>
      <c r="B45" t="s">
        <v>102</v>
      </c>
      <c r="C45" t="s">
        <v>103</v>
      </c>
      <c r="D45">
        <v>3</v>
      </c>
      <c r="E45">
        <v>2</v>
      </c>
      <c r="F45">
        <v>0</v>
      </c>
      <c r="G45">
        <v>3</v>
      </c>
      <c r="H45" s="3" t="s">
        <v>9</v>
      </c>
      <c r="I45">
        <v>2767522</v>
      </c>
      <c r="J45">
        <v>2</v>
      </c>
    </row>
    <row r="46" spans="1:10" x14ac:dyDescent="0.45">
      <c r="A46" t="s">
        <v>73</v>
      </c>
      <c r="B46" t="s">
        <v>102</v>
      </c>
      <c r="C46" t="s">
        <v>103</v>
      </c>
      <c r="D46">
        <v>3</v>
      </c>
      <c r="E46">
        <v>2</v>
      </c>
      <c r="F46">
        <v>0</v>
      </c>
      <c r="G46">
        <v>3</v>
      </c>
      <c r="H46" s="3" t="s">
        <v>9</v>
      </c>
      <c r="I46">
        <v>2767522</v>
      </c>
      <c r="J46">
        <v>3</v>
      </c>
    </row>
    <row r="47" spans="1:10" x14ac:dyDescent="0.45">
      <c r="A47" t="s">
        <v>68</v>
      </c>
      <c r="B47" t="s">
        <v>104</v>
      </c>
      <c r="C47" t="s">
        <v>105</v>
      </c>
      <c r="D47">
        <v>4</v>
      </c>
      <c r="E47">
        <v>3</v>
      </c>
      <c r="F47">
        <v>0</v>
      </c>
      <c r="G47">
        <v>3</v>
      </c>
      <c r="H47" s="3" t="s">
        <v>9</v>
      </c>
      <c r="I47">
        <v>4465113</v>
      </c>
      <c r="J47">
        <v>44</v>
      </c>
    </row>
    <row r="48" spans="1:10" x14ac:dyDescent="0.45">
      <c r="A48" t="s">
        <v>73</v>
      </c>
      <c r="B48" t="s">
        <v>104</v>
      </c>
      <c r="C48" t="s">
        <v>105</v>
      </c>
      <c r="D48">
        <v>4</v>
      </c>
      <c r="E48">
        <v>3</v>
      </c>
      <c r="F48">
        <v>0</v>
      </c>
      <c r="G48">
        <v>3</v>
      </c>
      <c r="H48" s="3" t="s">
        <v>244</v>
      </c>
      <c r="I48">
        <v>4465113</v>
      </c>
      <c r="J48">
        <v>31</v>
      </c>
    </row>
    <row r="49" spans="1:10" x14ac:dyDescent="0.45">
      <c r="A49" t="s">
        <v>68</v>
      </c>
      <c r="B49" t="s">
        <v>106</v>
      </c>
      <c r="C49" t="s">
        <v>107</v>
      </c>
      <c r="D49">
        <v>6</v>
      </c>
      <c r="E49">
        <v>3</v>
      </c>
      <c r="F49">
        <v>0</v>
      </c>
      <c r="G49">
        <v>3</v>
      </c>
      <c r="H49" s="3" t="s">
        <v>9</v>
      </c>
      <c r="I49">
        <v>2480350</v>
      </c>
      <c r="J49">
        <v>54</v>
      </c>
    </row>
    <row r="50" spans="1:10" x14ac:dyDescent="0.45">
      <c r="A50" t="s">
        <v>73</v>
      </c>
      <c r="B50" t="s">
        <v>106</v>
      </c>
      <c r="C50" t="s">
        <v>107</v>
      </c>
      <c r="D50">
        <v>6</v>
      </c>
      <c r="E50">
        <v>3</v>
      </c>
      <c r="F50">
        <v>0</v>
      </c>
      <c r="G50">
        <v>3</v>
      </c>
      <c r="H50" s="3" t="s">
        <v>9</v>
      </c>
      <c r="I50">
        <v>2480350</v>
      </c>
      <c r="J50">
        <v>45</v>
      </c>
    </row>
    <row r="51" spans="1:10" x14ac:dyDescent="0.45">
      <c r="A51" t="s">
        <v>68</v>
      </c>
      <c r="B51" t="s">
        <v>108</v>
      </c>
      <c r="C51" t="s">
        <v>464</v>
      </c>
      <c r="D51">
        <v>5</v>
      </c>
      <c r="E51">
        <v>3</v>
      </c>
      <c r="F51">
        <v>0</v>
      </c>
      <c r="G51">
        <v>3</v>
      </c>
      <c r="H51" s="3" t="s">
        <v>9</v>
      </c>
      <c r="I51">
        <v>7450141</v>
      </c>
      <c r="J51">
        <v>42</v>
      </c>
    </row>
    <row r="52" spans="1:10" x14ac:dyDescent="0.45">
      <c r="A52" t="s">
        <v>73</v>
      </c>
      <c r="B52" t="s">
        <v>108</v>
      </c>
      <c r="C52" t="s">
        <v>464</v>
      </c>
      <c r="D52">
        <v>5</v>
      </c>
      <c r="E52">
        <v>3</v>
      </c>
      <c r="F52">
        <v>0</v>
      </c>
      <c r="G52">
        <v>3</v>
      </c>
      <c r="H52" s="3" t="s">
        <v>9</v>
      </c>
      <c r="I52">
        <v>7450141</v>
      </c>
      <c r="J52">
        <v>31</v>
      </c>
    </row>
    <row r="53" spans="1:10" x14ac:dyDescent="0.45">
      <c r="A53" t="s">
        <v>73</v>
      </c>
      <c r="B53" t="s">
        <v>110</v>
      </c>
      <c r="C53" t="s">
        <v>111</v>
      </c>
      <c r="D53">
        <v>3</v>
      </c>
      <c r="E53">
        <v>3</v>
      </c>
      <c r="F53">
        <v>0</v>
      </c>
      <c r="G53">
        <v>3</v>
      </c>
      <c r="H53" s="3" t="s">
        <v>244</v>
      </c>
      <c r="I53">
        <v>2767522</v>
      </c>
      <c r="J53">
        <v>1</v>
      </c>
    </row>
    <row r="54" spans="1:10" x14ac:dyDescent="0.45">
      <c r="A54" t="s">
        <v>68</v>
      </c>
      <c r="B54" t="s">
        <v>112</v>
      </c>
      <c r="C54" t="s">
        <v>113</v>
      </c>
      <c r="D54">
        <v>3</v>
      </c>
      <c r="E54">
        <v>2</v>
      </c>
      <c r="F54">
        <v>0</v>
      </c>
      <c r="G54">
        <v>3</v>
      </c>
      <c r="H54" s="3" t="s">
        <v>244</v>
      </c>
      <c r="I54">
        <v>2767522</v>
      </c>
      <c r="J54">
        <v>47</v>
      </c>
    </row>
    <row r="55" spans="1:10" x14ac:dyDescent="0.45">
      <c r="A55" t="s">
        <v>73</v>
      </c>
      <c r="B55" t="s">
        <v>112</v>
      </c>
      <c r="C55" t="s">
        <v>113</v>
      </c>
      <c r="D55">
        <v>3</v>
      </c>
      <c r="E55">
        <v>2</v>
      </c>
      <c r="F55">
        <v>0</v>
      </c>
      <c r="G55">
        <v>3</v>
      </c>
      <c r="H55" s="3" t="s">
        <v>244</v>
      </c>
      <c r="I55">
        <v>2767522</v>
      </c>
      <c r="J55">
        <v>30</v>
      </c>
    </row>
    <row r="56" spans="1:10" x14ac:dyDescent="0.45">
      <c r="A56" t="s">
        <v>68</v>
      </c>
      <c r="B56" t="s">
        <v>114</v>
      </c>
      <c r="C56" t="s">
        <v>463</v>
      </c>
      <c r="D56">
        <v>3</v>
      </c>
      <c r="E56">
        <v>3</v>
      </c>
      <c r="F56">
        <v>0</v>
      </c>
      <c r="G56">
        <v>3</v>
      </c>
      <c r="H56" s="3" t="s">
        <v>9</v>
      </c>
      <c r="I56">
        <v>2480350</v>
      </c>
      <c r="J56">
        <v>41</v>
      </c>
    </row>
    <row r="57" spans="1:10" x14ac:dyDescent="0.45">
      <c r="A57" t="s">
        <v>73</v>
      </c>
      <c r="B57" t="s">
        <v>114</v>
      </c>
      <c r="C57" t="s">
        <v>463</v>
      </c>
      <c r="D57">
        <v>3</v>
      </c>
      <c r="E57">
        <v>3</v>
      </c>
      <c r="F57">
        <v>0</v>
      </c>
      <c r="G57">
        <v>3</v>
      </c>
      <c r="H57" s="3" t="s">
        <v>9</v>
      </c>
      <c r="I57">
        <v>2480350</v>
      </c>
      <c r="J57">
        <v>31</v>
      </c>
    </row>
    <row r="58" spans="1:10" x14ac:dyDescent="0.45">
      <c r="A58" t="s">
        <v>68</v>
      </c>
      <c r="B58" t="s">
        <v>117</v>
      </c>
      <c r="C58" t="s">
        <v>118</v>
      </c>
      <c r="D58">
        <v>4</v>
      </c>
      <c r="E58">
        <v>3</v>
      </c>
      <c r="F58">
        <v>0</v>
      </c>
      <c r="G58">
        <v>3</v>
      </c>
      <c r="H58" s="3" t="s">
        <v>244</v>
      </c>
      <c r="I58">
        <v>2767522</v>
      </c>
      <c r="J58">
        <v>3</v>
      </c>
    </row>
    <row r="59" spans="1:10" x14ac:dyDescent="0.45">
      <c r="A59" t="s">
        <v>68</v>
      </c>
      <c r="B59" t="s">
        <v>119</v>
      </c>
      <c r="C59" t="s">
        <v>65</v>
      </c>
      <c r="D59">
        <v>2</v>
      </c>
      <c r="E59">
        <v>2</v>
      </c>
      <c r="F59">
        <v>0</v>
      </c>
      <c r="G59">
        <v>3</v>
      </c>
      <c r="H59" s="3" t="s">
        <v>9</v>
      </c>
      <c r="I59">
        <v>7450141</v>
      </c>
      <c r="J59">
        <v>30</v>
      </c>
    </row>
    <row r="60" spans="1:10" x14ac:dyDescent="0.45">
      <c r="A60" t="s">
        <v>73</v>
      </c>
      <c r="B60" t="s">
        <v>119</v>
      </c>
      <c r="C60" t="s">
        <v>65</v>
      </c>
      <c r="D60">
        <v>2</v>
      </c>
      <c r="E60">
        <v>2</v>
      </c>
      <c r="F60">
        <v>0</v>
      </c>
      <c r="G60">
        <v>3</v>
      </c>
      <c r="H60" s="3" t="s">
        <v>9</v>
      </c>
      <c r="I60">
        <v>7450141</v>
      </c>
      <c r="J60">
        <v>4</v>
      </c>
    </row>
    <row r="61" spans="1:10" x14ac:dyDescent="0.45">
      <c r="A61" t="s">
        <v>120</v>
      </c>
      <c r="B61" t="s">
        <v>121</v>
      </c>
      <c r="C61" t="s">
        <v>122</v>
      </c>
      <c r="D61">
        <v>4</v>
      </c>
      <c r="E61">
        <v>3</v>
      </c>
      <c r="F61">
        <v>0</v>
      </c>
      <c r="G61">
        <v>1</v>
      </c>
      <c r="H61" s="3" t="s">
        <v>9</v>
      </c>
      <c r="I61">
        <v>2750113</v>
      </c>
      <c r="J61">
        <v>17</v>
      </c>
    </row>
    <row r="62" spans="1:10" x14ac:dyDescent="0.45">
      <c r="A62" t="s">
        <v>120</v>
      </c>
      <c r="B62" t="s">
        <v>123</v>
      </c>
      <c r="C62" t="s">
        <v>18</v>
      </c>
      <c r="D62">
        <v>4</v>
      </c>
      <c r="E62">
        <v>3</v>
      </c>
      <c r="F62">
        <v>0</v>
      </c>
      <c r="G62">
        <v>1</v>
      </c>
      <c r="H62" s="3" t="s">
        <v>9</v>
      </c>
      <c r="I62">
        <v>2550322</v>
      </c>
      <c r="J62">
        <v>32</v>
      </c>
    </row>
    <row r="63" spans="1:10" x14ac:dyDescent="0.45">
      <c r="A63" t="s">
        <v>120</v>
      </c>
      <c r="B63" t="s">
        <v>125</v>
      </c>
      <c r="C63" t="s">
        <v>126</v>
      </c>
      <c r="D63">
        <v>4</v>
      </c>
      <c r="E63">
        <v>3</v>
      </c>
      <c r="F63">
        <v>0</v>
      </c>
      <c r="G63">
        <v>1</v>
      </c>
      <c r="H63" s="3" t="s">
        <v>9</v>
      </c>
      <c r="I63">
        <v>2460217</v>
      </c>
      <c r="J63">
        <v>15</v>
      </c>
    </row>
    <row r="64" spans="1:10" x14ac:dyDescent="0.45">
      <c r="A64" t="s">
        <v>120</v>
      </c>
      <c r="B64" t="s">
        <v>127</v>
      </c>
      <c r="C64" t="s">
        <v>80</v>
      </c>
      <c r="D64">
        <v>5</v>
      </c>
      <c r="E64">
        <v>3</v>
      </c>
      <c r="F64">
        <v>0</v>
      </c>
      <c r="G64">
        <v>1</v>
      </c>
      <c r="H64" s="3" t="s">
        <v>9</v>
      </c>
      <c r="I64">
        <v>2550042</v>
      </c>
      <c r="J64">
        <v>9</v>
      </c>
    </row>
    <row r="65" spans="1:10" x14ac:dyDescent="0.45">
      <c r="A65" t="s">
        <v>120</v>
      </c>
      <c r="B65" t="s">
        <v>128</v>
      </c>
      <c r="C65" t="s">
        <v>129</v>
      </c>
      <c r="D65">
        <v>5</v>
      </c>
      <c r="E65">
        <v>3</v>
      </c>
      <c r="F65">
        <v>0</v>
      </c>
      <c r="G65">
        <v>1</v>
      </c>
      <c r="H65" s="3" t="s">
        <v>9</v>
      </c>
      <c r="I65">
        <v>2550322</v>
      </c>
      <c r="J65">
        <v>13</v>
      </c>
    </row>
    <row r="66" spans="1:10" x14ac:dyDescent="0.45">
      <c r="A66" t="s">
        <v>120</v>
      </c>
      <c r="B66" t="s">
        <v>130</v>
      </c>
      <c r="C66" t="s">
        <v>131</v>
      </c>
      <c r="D66">
        <v>2</v>
      </c>
      <c r="E66">
        <v>2</v>
      </c>
      <c r="F66">
        <v>0</v>
      </c>
      <c r="G66">
        <v>1</v>
      </c>
      <c r="H66" s="3" t="s">
        <v>9</v>
      </c>
      <c r="I66">
        <v>2570142</v>
      </c>
      <c r="J66">
        <v>18</v>
      </c>
    </row>
    <row r="67" spans="1:10" x14ac:dyDescent="0.45">
      <c r="A67" t="s">
        <v>120</v>
      </c>
      <c r="B67" t="s">
        <v>133</v>
      </c>
      <c r="C67" t="s">
        <v>134</v>
      </c>
      <c r="D67">
        <v>5</v>
      </c>
      <c r="E67">
        <v>3</v>
      </c>
      <c r="F67">
        <v>0</v>
      </c>
      <c r="G67">
        <v>2</v>
      </c>
      <c r="H67" s="3" t="s">
        <v>9</v>
      </c>
      <c r="I67">
        <v>2550042</v>
      </c>
      <c r="J67">
        <v>57</v>
      </c>
    </row>
    <row r="68" spans="1:10" x14ac:dyDescent="0.45">
      <c r="A68" t="s">
        <v>120</v>
      </c>
      <c r="B68" t="s">
        <v>135</v>
      </c>
      <c r="C68" t="s">
        <v>27</v>
      </c>
      <c r="D68">
        <v>5</v>
      </c>
      <c r="E68">
        <v>3</v>
      </c>
      <c r="F68">
        <v>0</v>
      </c>
      <c r="G68">
        <v>2</v>
      </c>
      <c r="H68" s="3" t="s">
        <v>9</v>
      </c>
      <c r="I68">
        <v>2550322</v>
      </c>
      <c r="J68">
        <v>66</v>
      </c>
    </row>
    <row r="69" spans="1:10" x14ac:dyDescent="0.45">
      <c r="A69" t="s">
        <v>120</v>
      </c>
      <c r="B69" t="s">
        <v>136</v>
      </c>
      <c r="C69" t="s">
        <v>137</v>
      </c>
      <c r="D69">
        <v>5</v>
      </c>
      <c r="E69">
        <v>3</v>
      </c>
      <c r="F69">
        <v>0</v>
      </c>
      <c r="G69">
        <v>2</v>
      </c>
      <c r="H69" s="3" t="s">
        <v>9</v>
      </c>
      <c r="I69">
        <v>3655367</v>
      </c>
      <c r="J69">
        <v>70</v>
      </c>
    </row>
    <row r="70" spans="1:10" x14ac:dyDescent="0.45">
      <c r="A70" t="s">
        <v>120</v>
      </c>
      <c r="B70" t="s">
        <v>139</v>
      </c>
      <c r="C70" t="s">
        <v>140</v>
      </c>
      <c r="D70">
        <v>5</v>
      </c>
      <c r="E70">
        <v>3</v>
      </c>
      <c r="F70">
        <v>0</v>
      </c>
      <c r="G70">
        <v>2</v>
      </c>
      <c r="H70" s="3" t="s">
        <v>9</v>
      </c>
      <c r="I70">
        <v>2570142</v>
      </c>
      <c r="J70">
        <v>58</v>
      </c>
    </row>
    <row r="71" spans="1:10" x14ac:dyDescent="0.45">
      <c r="A71" t="s">
        <v>120</v>
      </c>
      <c r="B71" t="s">
        <v>141</v>
      </c>
      <c r="C71" t="s">
        <v>142</v>
      </c>
      <c r="D71">
        <v>5</v>
      </c>
      <c r="E71">
        <v>3</v>
      </c>
      <c r="F71">
        <v>0</v>
      </c>
      <c r="G71">
        <v>2</v>
      </c>
      <c r="H71" s="3" t="s">
        <v>9</v>
      </c>
      <c r="I71">
        <v>4565554</v>
      </c>
      <c r="J71">
        <v>57</v>
      </c>
    </row>
    <row r="72" spans="1:10" x14ac:dyDescent="0.45">
      <c r="A72" t="s">
        <v>120</v>
      </c>
      <c r="B72" t="s">
        <v>143</v>
      </c>
      <c r="C72" t="s">
        <v>82</v>
      </c>
      <c r="D72">
        <v>5</v>
      </c>
      <c r="E72">
        <v>3</v>
      </c>
      <c r="F72">
        <v>0</v>
      </c>
      <c r="G72">
        <v>2</v>
      </c>
      <c r="H72" s="3" t="s">
        <v>244</v>
      </c>
      <c r="I72">
        <v>2570142</v>
      </c>
      <c r="J72">
        <v>66</v>
      </c>
    </row>
    <row r="73" spans="1:10" x14ac:dyDescent="0.45">
      <c r="A73" t="s">
        <v>120</v>
      </c>
      <c r="B73" t="s">
        <v>144</v>
      </c>
      <c r="C73" t="s">
        <v>145</v>
      </c>
      <c r="D73">
        <v>5</v>
      </c>
      <c r="E73">
        <v>3</v>
      </c>
      <c r="F73">
        <v>0</v>
      </c>
      <c r="G73">
        <v>3</v>
      </c>
      <c r="H73" s="3" t="s">
        <v>9</v>
      </c>
      <c r="I73">
        <v>2550042</v>
      </c>
      <c r="J73">
        <v>37</v>
      </c>
    </row>
    <row r="74" spans="1:10" x14ac:dyDescent="0.45">
      <c r="A74" t="s">
        <v>120</v>
      </c>
      <c r="B74" t="s">
        <v>146</v>
      </c>
      <c r="C74" t="s">
        <v>462</v>
      </c>
      <c r="D74">
        <v>5</v>
      </c>
      <c r="E74">
        <v>3</v>
      </c>
      <c r="F74">
        <v>0</v>
      </c>
      <c r="G74">
        <v>3</v>
      </c>
      <c r="H74" s="3" t="s">
        <v>9</v>
      </c>
      <c r="I74">
        <v>3655367</v>
      </c>
      <c r="J74">
        <v>52</v>
      </c>
    </row>
    <row r="75" spans="1:10" x14ac:dyDescent="0.45">
      <c r="A75" t="s">
        <v>120</v>
      </c>
      <c r="B75" t="s">
        <v>147</v>
      </c>
      <c r="C75" t="s">
        <v>148</v>
      </c>
      <c r="D75">
        <v>5</v>
      </c>
      <c r="E75">
        <v>3</v>
      </c>
      <c r="F75">
        <v>0</v>
      </c>
      <c r="G75">
        <v>3</v>
      </c>
      <c r="H75" s="3" t="s">
        <v>9</v>
      </c>
      <c r="I75">
        <v>5575334</v>
      </c>
      <c r="J75">
        <v>33</v>
      </c>
    </row>
    <row r="76" spans="1:10" x14ac:dyDescent="0.45">
      <c r="A76" t="s">
        <v>120</v>
      </c>
      <c r="B76" t="s">
        <v>150</v>
      </c>
      <c r="C76" t="s">
        <v>151</v>
      </c>
      <c r="D76">
        <v>5</v>
      </c>
      <c r="E76">
        <v>3</v>
      </c>
      <c r="F76">
        <v>0</v>
      </c>
      <c r="G76">
        <v>3</v>
      </c>
      <c r="H76" s="3" t="s">
        <v>9</v>
      </c>
      <c r="I76">
        <v>3655367</v>
      </c>
      <c r="J76">
        <v>47</v>
      </c>
    </row>
    <row r="77" spans="1:10" x14ac:dyDescent="0.45">
      <c r="A77" t="s">
        <v>120</v>
      </c>
      <c r="B77" t="s">
        <v>152</v>
      </c>
      <c r="C77" t="s">
        <v>153</v>
      </c>
      <c r="D77">
        <v>5</v>
      </c>
      <c r="E77">
        <v>3</v>
      </c>
      <c r="F77">
        <v>0</v>
      </c>
      <c r="G77">
        <v>3</v>
      </c>
      <c r="H77" s="3" t="s">
        <v>244</v>
      </c>
      <c r="I77">
        <v>2570142</v>
      </c>
      <c r="J77">
        <v>40</v>
      </c>
    </row>
    <row r="78" spans="1:10" x14ac:dyDescent="0.45">
      <c r="A78" t="s">
        <v>120</v>
      </c>
      <c r="B78" t="s">
        <v>154</v>
      </c>
      <c r="C78" t="s">
        <v>155</v>
      </c>
      <c r="D78">
        <v>5</v>
      </c>
      <c r="E78">
        <v>4</v>
      </c>
      <c r="F78">
        <v>0</v>
      </c>
      <c r="G78">
        <v>3</v>
      </c>
      <c r="H78" s="3" t="s">
        <v>244</v>
      </c>
      <c r="I78">
        <v>2460310</v>
      </c>
      <c r="J78">
        <v>35</v>
      </c>
    </row>
    <row r="79" spans="1:10" x14ac:dyDescent="0.45">
      <c r="A79" t="s">
        <v>157</v>
      </c>
      <c r="B79" t="s">
        <v>160</v>
      </c>
      <c r="C79" t="s">
        <v>80</v>
      </c>
      <c r="D79">
        <v>5</v>
      </c>
      <c r="E79">
        <v>3</v>
      </c>
      <c r="F79">
        <v>0</v>
      </c>
      <c r="G79">
        <v>1</v>
      </c>
      <c r="H79" s="3" t="s">
        <v>9</v>
      </c>
      <c r="I79">
        <v>3750338</v>
      </c>
      <c r="J79">
        <v>100</v>
      </c>
    </row>
    <row r="80" spans="1:10" x14ac:dyDescent="0.45">
      <c r="A80" t="s">
        <v>157</v>
      </c>
      <c r="B80" t="s">
        <v>161</v>
      </c>
      <c r="C80" t="s">
        <v>82</v>
      </c>
      <c r="D80">
        <v>5</v>
      </c>
      <c r="E80">
        <v>3</v>
      </c>
      <c r="F80">
        <v>0</v>
      </c>
      <c r="G80">
        <v>1</v>
      </c>
      <c r="H80" s="3" t="s">
        <v>9</v>
      </c>
      <c r="I80">
        <v>1780136</v>
      </c>
      <c r="J80">
        <v>130</v>
      </c>
    </row>
    <row r="81" spans="1:10" x14ac:dyDescent="0.45">
      <c r="A81" t="s">
        <v>157</v>
      </c>
      <c r="B81" t="s">
        <v>163</v>
      </c>
      <c r="C81" t="s">
        <v>164</v>
      </c>
      <c r="D81">
        <v>4</v>
      </c>
      <c r="E81">
        <v>3</v>
      </c>
      <c r="F81">
        <v>0</v>
      </c>
      <c r="G81">
        <v>1</v>
      </c>
      <c r="H81" s="3" t="s">
        <v>9</v>
      </c>
      <c r="I81">
        <v>6546123</v>
      </c>
      <c r="J81">
        <v>111</v>
      </c>
    </row>
    <row r="82" spans="1:10" x14ac:dyDescent="0.45">
      <c r="A82" t="s">
        <v>157</v>
      </c>
      <c r="B82" t="s">
        <v>166</v>
      </c>
      <c r="C82" t="s">
        <v>167</v>
      </c>
      <c r="D82">
        <v>4</v>
      </c>
      <c r="E82">
        <v>3</v>
      </c>
      <c r="F82">
        <v>0</v>
      </c>
      <c r="G82">
        <v>1</v>
      </c>
      <c r="H82" s="3" t="s">
        <v>9</v>
      </c>
      <c r="I82">
        <v>1700063</v>
      </c>
      <c r="J82">
        <v>137</v>
      </c>
    </row>
    <row r="83" spans="1:10" x14ac:dyDescent="0.45">
      <c r="A83" t="s">
        <v>157</v>
      </c>
      <c r="B83" t="s">
        <v>169</v>
      </c>
      <c r="C83" t="s">
        <v>29</v>
      </c>
      <c r="D83">
        <v>5</v>
      </c>
      <c r="E83">
        <v>3</v>
      </c>
      <c r="F83">
        <v>0</v>
      </c>
      <c r="G83">
        <v>2</v>
      </c>
      <c r="H83" s="3" t="s">
        <v>9</v>
      </c>
      <c r="I83">
        <v>2564167</v>
      </c>
      <c r="J83">
        <v>114</v>
      </c>
    </row>
    <row r="84" spans="1:10" x14ac:dyDescent="0.45">
      <c r="A84" t="s">
        <v>157</v>
      </c>
      <c r="B84" t="s">
        <v>171</v>
      </c>
      <c r="C84" t="s">
        <v>172</v>
      </c>
      <c r="D84">
        <v>3</v>
      </c>
      <c r="E84">
        <v>3</v>
      </c>
      <c r="F84">
        <v>0</v>
      </c>
      <c r="G84">
        <v>2</v>
      </c>
      <c r="H84" s="3" t="s">
        <v>9</v>
      </c>
      <c r="I84">
        <v>6546123</v>
      </c>
      <c r="J84">
        <v>111</v>
      </c>
    </row>
    <row r="85" spans="1:10" x14ac:dyDescent="0.45">
      <c r="A85" t="s">
        <v>157</v>
      </c>
      <c r="B85" t="s">
        <v>173</v>
      </c>
      <c r="C85" t="s">
        <v>122</v>
      </c>
      <c r="D85">
        <v>5</v>
      </c>
      <c r="E85">
        <v>3</v>
      </c>
      <c r="F85">
        <v>0</v>
      </c>
      <c r="G85">
        <v>2</v>
      </c>
      <c r="H85" s="3" t="s">
        <v>9</v>
      </c>
      <c r="I85">
        <v>2750113</v>
      </c>
      <c r="J85">
        <v>111</v>
      </c>
    </row>
    <row r="86" spans="1:10" x14ac:dyDescent="0.45">
      <c r="A86" t="s">
        <v>157</v>
      </c>
      <c r="B86" t="s">
        <v>174</v>
      </c>
      <c r="C86" t="s">
        <v>98</v>
      </c>
      <c r="D86">
        <v>5</v>
      </c>
      <c r="E86">
        <v>3</v>
      </c>
      <c r="F86">
        <v>0</v>
      </c>
      <c r="G86">
        <v>2</v>
      </c>
      <c r="H86" s="3" t="s">
        <v>9</v>
      </c>
      <c r="I86">
        <v>2510318</v>
      </c>
      <c r="J86">
        <v>92</v>
      </c>
    </row>
    <row r="87" spans="1:10" x14ac:dyDescent="0.45">
      <c r="A87" t="s">
        <v>157</v>
      </c>
      <c r="B87" t="s">
        <v>175</v>
      </c>
      <c r="C87" t="s">
        <v>176</v>
      </c>
      <c r="D87">
        <v>4</v>
      </c>
      <c r="E87">
        <v>3</v>
      </c>
      <c r="F87">
        <v>0</v>
      </c>
      <c r="G87">
        <v>2</v>
      </c>
      <c r="H87" s="3" t="s">
        <v>9</v>
      </c>
      <c r="I87">
        <v>4550431</v>
      </c>
      <c r="J87">
        <v>101</v>
      </c>
    </row>
    <row r="88" spans="1:10" x14ac:dyDescent="0.45">
      <c r="A88" t="s">
        <v>157</v>
      </c>
      <c r="B88" t="s">
        <v>178</v>
      </c>
      <c r="C88" t="s">
        <v>461</v>
      </c>
      <c r="D88">
        <v>4</v>
      </c>
      <c r="E88">
        <v>3</v>
      </c>
      <c r="F88">
        <v>0</v>
      </c>
      <c r="G88">
        <v>2</v>
      </c>
      <c r="H88" s="3" t="s">
        <v>244</v>
      </c>
      <c r="I88">
        <v>4670514</v>
      </c>
      <c r="J88">
        <v>113</v>
      </c>
    </row>
    <row r="89" spans="1:10" x14ac:dyDescent="0.45">
      <c r="A89" t="s">
        <v>157</v>
      </c>
      <c r="B89" t="s">
        <v>180</v>
      </c>
      <c r="C89" t="s">
        <v>181</v>
      </c>
      <c r="D89">
        <v>4</v>
      </c>
      <c r="E89">
        <v>3</v>
      </c>
      <c r="F89">
        <v>0</v>
      </c>
      <c r="G89">
        <v>2</v>
      </c>
      <c r="H89" s="3" t="s">
        <v>244</v>
      </c>
      <c r="I89">
        <v>1652363</v>
      </c>
      <c r="J89">
        <v>173</v>
      </c>
    </row>
    <row r="90" spans="1:10" x14ac:dyDescent="0.45">
      <c r="A90" t="s">
        <v>157</v>
      </c>
      <c r="B90" t="s">
        <v>183</v>
      </c>
      <c r="C90" t="s">
        <v>184</v>
      </c>
      <c r="D90">
        <v>3</v>
      </c>
      <c r="E90">
        <v>3</v>
      </c>
      <c r="F90">
        <v>0</v>
      </c>
      <c r="G90">
        <v>3</v>
      </c>
      <c r="H90" s="3" t="s">
        <v>9</v>
      </c>
      <c r="I90">
        <v>1652363</v>
      </c>
      <c r="J90">
        <v>67</v>
      </c>
    </row>
    <row r="91" spans="1:10" x14ac:dyDescent="0.45">
      <c r="A91" t="s">
        <v>185</v>
      </c>
      <c r="B91" t="s">
        <v>183</v>
      </c>
      <c r="C91" t="s">
        <v>184</v>
      </c>
      <c r="D91">
        <v>3</v>
      </c>
      <c r="E91">
        <v>3</v>
      </c>
      <c r="F91">
        <v>0</v>
      </c>
      <c r="G91">
        <v>3</v>
      </c>
      <c r="H91" s="3" t="s">
        <v>9</v>
      </c>
      <c r="I91">
        <v>1652363</v>
      </c>
      <c r="J91">
        <v>68</v>
      </c>
    </row>
    <row r="92" spans="1:10" x14ac:dyDescent="0.45">
      <c r="A92" t="s">
        <v>157</v>
      </c>
      <c r="B92" t="s">
        <v>186</v>
      </c>
      <c r="C92" t="s">
        <v>111</v>
      </c>
      <c r="D92">
        <v>4</v>
      </c>
      <c r="E92">
        <v>3</v>
      </c>
      <c r="F92">
        <v>0</v>
      </c>
      <c r="G92">
        <v>3</v>
      </c>
      <c r="H92" s="3" t="s">
        <v>244</v>
      </c>
      <c r="I92">
        <v>4550431</v>
      </c>
      <c r="J92">
        <v>72</v>
      </c>
    </row>
    <row r="93" spans="1:10" x14ac:dyDescent="0.45">
      <c r="A93" t="s">
        <v>185</v>
      </c>
      <c r="B93" t="s">
        <v>186</v>
      </c>
      <c r="C93" t="s">
        <v>111</v>
      </c>
      <c r="D93">
        <v>4</v>
      </c>
      <c r="E93">
        <v>3</v>
      </c>
      <c r="F93">
        <v>0</v>
      </c>
      <c r="G93">
        <v>3</v>
      </c>
      <c r="H93" s="3" t="s">
        <v>244</v>
      </c>
      <c r="I93">
        <v>4550431</v>
      </c>
      <c r="J93">
        <v>70</v>
      </c>
    </row>
    <row r="94" spans="1:10" x14ac:dyDescent="0.45">
      <c r="A94" t="s">
        <v>157</v>
      </c>
      <c r="B94" t="s">
        <v>187</v>
      </c>
      <c r="C94" t="s">
        <v>21</v>
      </c>
      <c r="D94">
        <v>3</v>
      </c>
      <c r="E94">
        <v>3</v>
      </c>
      <c r="F94">
        <v>0</v>
      </c>
      <c r="G94">
        <v>3</v>
      </c>
      <c r="H94" s="3" t="s">
        <v>9</v>
      </c>
      <c r="I94">
        <v>1652363</v>
      </c>
      <c r="J94">
        <v>72</v>
      </c>
    </row>
    <row r="95" spans="1:10" x14ac:dyDescent="0.45">
      <c r="A95" t="s">
        <v>185</v>
      </c>
      <c r="B95" t="s">
        <v>187</v>
      </c>
      <c r="C95" t="s">
        <v>21</v>
      </c>
      <c r="D95">
        <v>3</v>
      </c>
      <c r="E95">
        <v>3</v>
      </c>
      <c r="F95">
        <v>0</v>
      </c>
      <c r="G95">
        <v>3</v>
      </c>
      <c r="H95" s="3" t="s">
        <v>9</v>
      </c>
      <c r="I95">
        <v>1652363</v>
      </c>
      <c r="J95">
        <v>70</v>
      </c>
    </row>
    <row r="96" spans="1:10" x14ac:dyDescent="0.45">
      <c r="A96" t="s">
        <v>157</v>
      </c>
      <c r="B96" t="s">
        <v>188</v>
      </c>
      <c r="C96" t="s">
        <v>189</v>
      </c>
      <c r="D96">
        <v>4</v>
      </c>
      <c r="E96">
        <v>3</v>
      </c>
      <c r="F96">
        <v>0</v>
      </c>
      <c r="G96">
        <v>3</v>
      </c>
      <c r="H96" s="3" t="s">
        <v>9</v>
      </c>
      <c r="I96">
        <v>4670514</v>
      </c>
      <c r="J96">
        <v>74</v>
      </c>
    </row>
    <row r="97" spans="1:10" x14ac:dyDescent="0.45">
      <c r="A97" t="s">
        <v>185</v>
      </c>
      <c r="B97" t="s">
        <v>188</v>
      </c>
      <c r="C97" t="s">
        <v>189</v>
      </c>
      <c r="D97">
        <v>4</v>
      </c>
      <c r="E97">
        <v>3</v>
      </c>
      <c r="F97">
        <v>0</v>
      </c>
      <c r="G97">
        <v>3</v>
      </c>
      <c r="H97" s="3" t="s">
        <v>9</v>
      </c>
      <c r="I97">
        <v>4670514</v>
      </c>
      <c r="J97">
        <v>72</v>
      </c>
    </row>
    <row r="98" spans="1:10" x14ac:dyDescent="0.45">
      <c r="A98" t="s">
        <v>157</v>
      </c>
      <c r="B98" t="s">
        <v>190</v>
      </c>
      <c r="C98" t="s">
        <v>191</v>
      </c>
      <c r="D98">
        <v>4</v>
      </c>
      <c r="E98">
        <v>3</v>
      </c>
      <c r="F98">
        <v>0</v>
      </c>
      <c r="G98">
        <v>3</v>
      </c>
      <c r="H98" s="3" t="s">
        <v>9</v>
      </c>
      <c r="I98">
        <v>1700063</v>
      </c>
      <c r="J98">
        <v>80</v>
      </c>
    </row>
    <row r="99" spans="1:10" x14ac:dyDescent="0.45">
      <c r="A99" t="s">
        <v>185</v>
      </c>
      <c r="B99" t="s">
        <v>190</v>
      </c>
      <c r="C99" t="s">
        <v>191</v>
      </c>
      <c r="D99">
        <v>4</v>
      </c>
      <c r="E99">
        <v>3</v>
      </c>
      <c r="F99">
        <v>0</v>
      </c>
      <c r="G99">
        <v>3</v>
      </c>
      <c r="H99" s="3" t="s">
        <v>9</v>
      </c>
      <c r="I99">
        <v>1700063</v>
      </c>
      <c r="J99">
        <v>87</v>
      </c>
    </row>
    <row r="100" spans="1:10" x14ac:dyDescent="0.45">
      <c r="A100" t="s">
        <v>157</v>
      </c>
      <c r="B100" t="s">
        <v>192</v>
      </c>
      <c r="C100" t="s">
        <v>193</v>
      </c>
      <c r="D100">
        <v>4</v>
      </c>
      <c r="E100">
        <v>3</v>
      </c>
      <c r="F100">
        <v>0</v>
      </c>
      <c r="G100">
        <v>3</v>
      </c>
      <c r="H100" s="3" t="s">
        <v>9</v>
      </c>
      <c r="I100">
        <v>4550431</v>
      </c>
      <c r="J100">
        <v>71</v>
      </c>
    </row>
    <row r="101" spans="1:10" x14ac:dyDescent="0.45">
      <c r="A101" t="s">
        <v>185</v>
      </c>
      <c r="B101" t="s">
        <v>192</v>
      </c>
      <c r="C101" t="s">
        <v>193</v>
      </c>
      <c r="D101">
        <v>4</v>
      </c>
      <c r="E101">
        <v>3</v>
      </c>
      <c r="F101">
        <v>0</v>
      </c>
      <c r="G101">
        <v>3</v>
      </c>
      <c r="H101" s="3" t="s">
        <v>9</v>
      </c>
      <c r="I101">
        <v>4550431</v>
      </c>
      <c r="J101">
        <v>76</v>
      </c>
    </row>
    <row r="102" spans="1:10" x14ac:dyDescent="0.45">
      <c r="A102" t="s">
        <v>157</v>
      </c>
      <c r="B102" t="s">
        <v>194</v>
      </c>
      <c r="C102" t="s">
        <v>195</v>
      </c>
      <c r="D102">
        <v>4</v>
      </c>
      <c r="E102">
        <v>3</v>
      </c>
      <c r="F102">
        <v>0</v>
      </c>
      <c r="G102">
        <v>3</v>
      </c>
      <c r="H102" s="3" t="s">
        <v>244</v>
      </c>
      <c r="I102">
        <v>6590408</v>
      </c>
      <c r="J102">
        <v>82</v>
      </c>
    </row>
    <row r="103" spans="1:10" x14ac:dyDescent="0.45">
      <c r="A103" t="s">
        <v>185</v>
      </c>
      <c r="B103" t="s">
        <v>194</v>
      </c>
      <c r="C103" t="s">
        <v>195</v>
      </c>
      <c r="D103">
        <v>4</v>
      </c>
      <c r="E103">
        <v>3</v>
      </c>
      <c r="F103">
        <v>0</v>
      </c>
      <c r="G103">
        <v>3</v>
      </c>
      <c r="H103" s="3" t="s">
        <v>244</v>
      </c>
      <c r="I103">
        <v>6590408</v>
      </c>
      <c r="J103">
        <v>77</v>
      </c>
    </row>
    <row r="104" spans="1:10" x14ac:dyDescent="0.45">
      <c r="A104" t="s">
        <v>157</v>
      </c>
      <c r="B104" t="s">
        <v>197</v>
      </c>
      <c r="C104" t="s">
        <v>198</v>
      </c>
      <c r="D104">
        <v>4</v>
      </c>
      <c r="E104">
        <v>3</v>
      </c>
      <c r="F104">
        <v>0</v>
      </c>
      <c r="G104">
        <v>3</v>
      </c>
      <c r="H104" s="3" t="s">
        <v>9</v>
      </c>
      <c r="I104">
        <v>4670514</v>
      </c>
      <c r="J104">
        <v>79</v>
      </c>
    </row>
    <row r="105" spans="1:10" x14ac:dyDescent="0.45">
      <c r="A105" t="s">
        <v>185</v>
      </c>
      <c r="B105" t="s">
        <v>197</v>
      </c>
      <c r="C105" t="s">
        <v>198</v>
      </c>
      <c r="D105">
        <v>4</v>
      </c>
      <c r="E105">
        <v>3</v>
      </c>
      <c r="F105">
        <v>0</v>
      </c>
      <c r="G105">
        <v>3</v>
      </c>
      <c r="H105" s="3" t="s">
        <v>9</v>
      </c>
      <c r="I105">
        <v>4670514</v>
      </c>
      <c r="J105">
        <v>70</v>
      </c>
    </row>
    <row r="106" spans="1:10" x14ac:dyDescent="0.45">
      <c r="A106" t="s">
        <v>200</v>
      </c>
      <c r="B106" t="s">
        <v>115</v>
      </c>
      <c r="C106" t="s">
        <v>116</v>
      </c>
      <c r="D106">
        <v>4</v>
      </c>
      <c r="E106">
        <v>3</v>
      </c>
      <c r="F106">
        <v>0</v>
      </c>
      <c r="G106">
        <v>3</v>
      </c>
      <c r="H106" s="3" t="s">
        <v>244</v>
      </c>
      <c r="I106">
        <v>2560131</v>
      </c>
      <c r="J106">
        <v>7</v>
      </c>
    </row>
    <row r="107" spans="1:10" x14ac:dyDescent="0.45">
      <c r="A107" t="s">
        <v>203</v>
      </c>
      <c r="B107" t="s">
        <v>115</v>
      </c>
      <c r="C107" t="s">
        <v>116</v>
      </c>
      <c r="D107">
        <v>4</v>
      </c>
      <c r="E107">
        <v>3</v>
      </c>
      <c r="F107">
        <v>0</v>
      </c>
      <c r="G107">
        <v>3</v>
      </c>
      <c r="H107" s="3" t="s">
        <v>244</v>
      </c>
      <c r="I107">
        <v>2560131</v>
      </c>
      <c r="J107">
        <v>8</v>
      </c>
    </row>
    <row r="108" spans="1:10" x14ac:dyDescent="0.45">
      <c r="A108" t="s">
        <v>200</v>
      </c>
      <c r="B108" t="s">
        <v>205</v>
      </c>
      <c r="C108" t="s">
        <v>82</v>
      </c>
      <c r="D108">
        <v>5</v>
      </c>
      <c r="E108">
        <v>3</v>
      </c>
      <c r="F108">
        <v>0</v>
      </c>
      <c r="G108">
        <v>1</v>
      </c>
      <c r="H108" s="3" t="s">
        <v>9</v>
      </c>
      <c r="I108">
        <v>2450302</v>
      </c>
      <c r="J108">
        <v>91</v>
      </c>
    </row>
    <row r="109" spans="1:10" x14ac:dyDescent="0.45">
      <c r="A109" t="s">
        <v>200</v>
      </c>
      <c r="B109" t="s">
        <v>207</v>
      </c>
      <c r="C109" t="s">
        <v>67</v>
      </c>
      <c r="D109">
        <v>4</v>
      </c>
      <c r="E109">
        <v>2</v>
      </c>
      <c r="F109">
        <v>0</v>
      </c>
      <c r="G109">
        <v>1</v>
      </c>
      <c r="H109" s="3" t="s">
        <v>9</v>
      </c>
      <c r="I109">
        <v>2560131</v>
      </c>
      <c r="J109">
        <v>90</v>
      </c>
    </row>
    <row r="110" spans="1:10" x14ac:dyDescent="0.45">
      <c r="A110" t="s">
        <v>200</v>
      </c>
      <c r="B110" t="s">
        <v>208</v>
      </c>
      <c r="C110" t="s">
        <v>460</v>
      </c>
      <c r="D110">
        <v>4</v>
      </c>
      <c r="E110">
        <v>3</v>
      </c>
      <c r="F110">
        <v>0</v>
      </c>
      <c r="G110">
        <v>1</v>
      </c>
      <c r="H110" s="3" t="s">
        <v>9</v>
      </c>
      <c r="I110">
        <v>2560131</v>
      </c>
      <c r="J110">
        <v>90</v>
      </c>
    </row>
    <row r="111" spans="1:10" x14ac:dyDescent="0.45">
      <c r="A111" t="s">
        <v>200</v>
      </c>
      <c r="B111" t="s">
        <v>209</v>
      </c>
      <c r="C111" t="s">
        <v>210</v>
      </c>
      <c r="D111">
        <v>5</v>
      </c>
      <c r="E111">
        <v>3</v>
      </c>
      <c r="F111">
        <v>0</v>
      </c>
      <c r="G111">
        <v>1</v>
      </c>
      <c r="H111" s="3" t="s">
        <v>9</v>
      </c>
      <c r="I111">
        <v>2565028</v>
      </c>
      <c r="J111">
        <v>124</v>
      </c>
    </row>
    <row r="112" spans="1:10" x14ac:dyDescent="0.45">
      <c r="A112" t="s">
        <v>200</v>
      </c>
      <c r="B112" t="s">
        <v>212</v>
      </c>
      <c r="C112" t="s">
        <v>80</v>
      </c>
      <c r="D112">
        <v>4</v>
      </c>
      <c r="E112">
        <v>3</v>
      </c>
      <c r="F112">
        <v>0</v>
      </c>
      <c r="G112">
        <v>1</v>
      </c>
      <c r="H112" s="3" t="s">
        <v>9</v>
      </c>
      <c r="I112">
        <v>2564167</v>
      </c>
      <c r="J112">
        <v>118</v>
      </c>
    </row>
    <row r="113" spans="1:10" x14ac:dyDescent="0.45">
      <c r="A113" t="s">
        <v>200</v>
      </c>
      <c r="B113" t="s">
        <v>213</v>
      </c>
      <c r="C113" t="s">
        <v>459</v>
      </c>
      <c r="D113">
        <v>4</v>
      </c>
      <c r="E113">
        <v>3</v>
      </c>
      <c r="F113">
        <v>0</v>
      </c>
      <c r="G113">
        <v>2</v>
      </c>
      <c r="H113" s="3" t="s">
        <v>9</v>
      </c>
      <c r="I113">
        <v>2650432</v>
      </c>
      <c r="J113">
        <v>102</v>
      </c>
    </row>
    <row r="114" spans="1:10" x14ac:dyDescent="0.45">
      <c r="A114" t="s">
        <v>200</v>
      </c>
      <c r="B114" t="s">
        <v>215</v>
      </c>
      <c r="C114" t="s">
        <v>216</v>
      </c>
      <c r="D114">
        <v>4</v>
      </c>
      <c r="E114">
        <v>3</v>
      </c>
      <c r="F114">
        <v>0</v>
      </c>
      <c r="G114">
        <v>2</v>
      </c>
      <c r="H114" s="3" t="s">
        <v>9</v>
      </c>
      <c r="I114">
        <v>2650432</v>
      </c>
      <c r="J114">
        <v>94</v>
      </c>
    </row>
    <row r="115" spans="1:10" x14ac:dyDescent="0.45">
      <c r="A115" t="s">
        <v>200</v>
      </c>
      <c r="B115" t="s">
        <v>217</v>
      </c>
      <c r="C115" t="s">
        <v>218</v>
      </c>
      <c r="D115">
        <v>4</v>
      </c>
      <c r="E115">
        <v>3</v>
      </c>
      <c r="F115">
        <v>0</v>
      </c>
      <c r="G115">
        <v>2</v>
      </c>
      <c r="H115" s="3" t="s">
        <v>9</v>
      </c>
      <c r="I115">
        <v>2565028</v>
      </c>
      <c r="J115">
        <v>125</v>
      </c>
    </row>
    <row r="116" spans="1:10" x14ac:dyDescent="0.45">
      <c r="A116" t="s">
        <v>200</v>
      </c>
      <c r="B116" t="s">
        <v>219</v>
      </c>
      <c r="C116" t="s">
        <v>220</v>
      </c>
      <c r="D116">
        <v>4</v>
      </c>
      <c r="E116">
        <v>3</v>
      </c>
      <c r="F116">
        <v>0</v>
      </c>
      <c r="G116">
        <v>2</v>
      </c>
      <c r="H116" s="3" t="s">
        <v>9</v>
      </c>
      <c r="I116">
        <v>1650231</v>
      </c>
      <c r="J116">
        <v>102</v>
      </c>
    </row>
    <row r="117" spans="1:10" x14ac:dyDescent="0.45">
      <c r="A117" t="s">
        <v>200</v>
      </c>
      <c r="B117" t="s">
        <v>222</v>
      </c>
      <c r="C117" t="s">
        <v>223</v>
      </c>
      <c r="D117">
        <v>4</v>
      </c>
      <c r="E117">
        <v>3</v>
      </c>
      <c r="F117">
        <v>0</v>
      </c>
      <c r="G117">
        <v>2</v>
      </c>
      <c r="H117" s="3" t="s">
        <v>9</v>
      </c>
      <c r="I117">
        <v>1450512</v>
      </c>
      <c r="J117">
        <v>141</v>
      </c>
    </row>
    <row r="118" spans="1:10" x14ac:dyDescent="0.45">
      <c r="A118" t="s">
        <v>200</v>
      </c>
      <c r="B118" t="s">
        <v>225</v>
      </c>
      <c r="C118" t="s">
        <v>32</v>
      </c>
      <c r="D118">
        <v>3</v>
      </c>
      <c r="E118">
        <v>3</v>
      </c>
      <c r="F118">
        <v>0</v>
      </c>
      <c r="G118">
        <v>2</v>
      </c>
      <c r="H118" s="3" t="s">
        <v>9</v>
      </c>
      <c r="I118">
        <v>2400356</v>
      </c>
      <c r="J118">
        <v>128</v>
      </c>
    </row>
    <row r="119" spans="1:10" x14ac:dyDescent="0.45">
      <c r="A119" t="s">
        <v>200</v>
      </c>
      <c r="B119" t="s">
        <v>226</v>
      </c>
      <c r="C119" t="s">
        <v>227</v>
      </c>
      <c r="D119">
        <v>4</v>
      </c>
      <c r="E119">
        <v>3</v>
      </c>
      <c r="F119">
        <v>0</v>
      </c>
      <c r="G119">
        <v>2</v>
      </c>
      <c r="H119" s="3" t="s">
        <v>9</v>
      </c>
      <c r="I119">
        <v>2450302</v>
      </c>
      <c r="J119">
        <v>132</v>
      </c>
    </row>
    <row r="120" spans="1:10" x14ac:dyDescent="0.45">
      <c r="A120" t="s">
        <v>200</v>
      </c>
      <c r="B120" t="s">
        <v>228</v>
      </c>
      <c r="C120" t="s">
        <v>122</v>
      </c>
      <c r="D120">
        <v>3</v>
      </c>
      <c r="E120">
        <v>3</v>
      </c>
      <c r="F120">
        <v>0</v>
      </c>
      <c r="G120">
        <v>2</v>
      </c>
      <c r="H120" s="3" t="s">
        <v>9</v>
      </c>
      <c r="I120">
        <v>2540145</v>
      </c>
      <c r="J120">
        <v>98</v>
      </c>
    </row>
    <row r="121" spans="1:10" x14ac:dyDescent="0.45">
      <c r="A121" t="s">
        <v>200</v>
      </c>
      <c r="B121" t="s">
        <v>229</v>
      </c>
      <c r="C121" t="s">
        <v>230</v>
      </c>
      <c r="D121">
        <v>5</v>
      </c>
      <c r="E121">
        <v>4</v>
      </c>
      <c r="F121">
        <v>0</v>
      </c>
      <c r="G121">
        <v>3</v>
      </c>
      <c r="H121" s="3" t="s">
        <v>9</v>
      </c>
      <c r="I121">
        <v>1650231</v>
      </c>
      <c r="J121">
        <v>13</v>
      </c>
    </row>
    <row r="122" spans="1:10" x14ac:dyDescent="0.45">
      <c r="A122" t="s">
        <v>200</v>
      </c>
      <c r="B122" t="s">
        <v>231</v>
      </c>
      <c r="C122" t="s">
        <v>232</v>
      </c>
      <c r="D122">
        <v>5</v>
      </c>
      <c r="E122">
        <v>3</v>
      </c>
      <c r="F122">
        <v>0</v>
      </c>
      <c r="G122">
        <v>3</v>
      </c>
      <c r="H122" s="3" t="s">
        <v>9</v>
      </c>
      <c r="I122">
        <v>1650231</v>
      </c>
      <c r="J122">
        <v>76</v>
      </c>
    </row>
    <row r="123" spans="1:10" x14ac:dyDescent="0.45">
      <c r="A123" t="s">
        <v>203</v>
      </c>
      <c r="B123" t="s">
        <v>231</v>
      </c>
      <c r="C123" t="s">
        <v>232</v>
      </c>
      <c r="D123">
        <v>5</v>
      </c>
      <c r="E123">
        <v>3</v>
      </c>
      <c r="F123">
        <v>0</v>
      </c>
      <c r="G123">
        <v>3</v>
      </c>
      <c r="H123" s="3" t="s">
        <v>9</v>
      </c>
      <c r="I123">
        <v>1650231</v>
      </c>
      <c r="J123">
        <v>73</v>
      </c>
    </row>
    <row r="124" spans="1:10" x14ac:dyDescent="0.45">
      <c r="A124" t="s">
        <v>200</v>
      </c>
      <c r="B124" t="s">
        <v>233</v>
      </c>
      <c r="C124" t="s">
        <v>43</v>
      </c>
      <c r="D124">
        <v>5</v>
      </c>
      <c r="E124">
        <v>3</v>
      </c>
      <c r="F124">
        <v>0</v>
      </c>
      <c r="G124">
        <v>3</v>
      </c>
      <c r="H124" s="3" t="s">
        <v>9</v>
      </c>
      <c r="I124">
        <v>2450302</v>
      </c>
      <c r="J124">
        <v>83</v>
      </c>
    </row>
    <row r="125" spans="1:10" x14ac:dyDescent="0.45">
      <c r="A125" t="s">
        <v>203</v>
      </c>
      <c r="B125" t="s">
        <v>233</v>
      </c>
      <c r="C125" t="s">
        <v>43</v>
      </c>
      <c r="D125">
        <v>5</v>
      </c>
      <c r="E125">
        <v>3</v>
      </c>
      <c r="F125">
        <v>0</v>
      </c>
      <c r="G125">
        <v>3</v>
      </c>
      <c r="H125" s="3" t="s">
        <v>9</v>
      </c>
      <c r="I125">
        <v>2450302</v>
      </c>
      <c r="J125">
        <v>69</v>
      </c>
    </row>
    <row r="126" spans="1:10" x14ac:dyDescent="0.45">
      <c r="A126" t="s">
        <v>200</v>
      </c>
      <c r="B126" t="s">
        <v>234</v>
      </c>
      <c r="C126" t="s">
        <v>235</v>
      </c>
      <c r="D126">
        <v>5</v>
      </c>
      <c r="E126">
        <v>3</v>
      </c>
      <c r="F126">
        <v>0</v>
      </c>
      <c r="G126">
        <v>3</v>
      </c>
      <c r="H126" s="3" t="s">
        <v>9</v>
      </c>
      <c r="I126">
        <v>1450512</v>
      </c>
      <c r="J126">
        <v>92</v>
      </c>
    </row>
    <row r="127" spans="1:10" x14ac:dyDescent="0.45">
      <c r="A127" t="s">
        <v>203</v>
      </c>
      <c r="B127" t="s">
        <v>234</v>
      </c>
      <c r="C127" t="s">
        <v>235</v>
      </c>
      <c r="D127">
        <v>5</v>
      </c>
      <c r="E127">
        <v>3</v>
      </c>
      <c r="F127">
        <v>0</v>
      </c>
      <c r="G127">
        <v>3</v>
      </c>
      <c r="H127" s="3" t="s">
        <v>9</v>
      </c>
      <c r="I127">
        <v>1450512</v>
      </c>
      <c r="J127">
        <v>98</v>
      </c>
    </row>
    <row r="128" spans="1:10" x14ac:dyDescent="0.45">
      <c r="A128" t="s">
        <v>200</v>
      </c>
      <c r="B128" t="s">
        <v>236</v>
      </c>
      <c r="C128" t="s">
        <v>237</v>
      </c>
      <c r="D128">
        <v>5</v>
      </c>
      <c r="E128">
        <v>3</v>
      </c>
      <c r="F128">
        <v>0</v>
      </c>
      <c r="G128">
        <v>3</v>
      </c>
      <c r="H128" s="3" t="s">
        <v>9</v>
      </c>
      <c r="I128">
        <v>2550322</v>
      </c>
      <c r="J128">
        <v>89</v>
      </c>
    </row>
    <row r="129" spans="1:10" x14ac:dyDescent="0.45">
      <c r="A129" t="s">
        <v>203</v>
      </c>
      <c r="B129" t="s">
        <v>236</v>
      </c>
      <c r="C129" t="s">
        <v>237</v>
      </c>
      <c r="D129">
        <v>5</v>
      </c>
      <c r="E129">
        <v>3</v>
      </c>
      <c r="F129">
        <v>0</v>
      </c>
      <c r="G129">
        <v>3</v>
      </c>
      <c r="H129" s="3" t="s">
        <v>9</v>
      </c>
      <c r="I129">
        <v>2550322</v>
      </c>
      <c r="J129">
        <v>72</v>
      </c>
    </row>
    <row r="130" spans="1:10" x14ac:dyDescent="0.45">
      <c r="A130" t="s">
        <v>200</v>
      </c>
      <c r="B130" t="s">
        <v>238</v>
      </c>
      <c r="C130" t="s">
        <v>457</v>
      </c>
      <c r="D130">
        <v>5</v>
      </c>
      <c r="E130">
        <v>3</v>
      </c>
      <c r="F130">
        <v>0</v>
      </c>
      <c r="G130">
        <v>3</v>
      </c>
      <c r="H130" s="3" t="s">
        <v>244</v>
      </c>
      <c r="I130">
        <v>5564242</v>
      </c>
      <c r="J130">
        <v>69</v>
      </c>
    </row>
    <row r="131" spans="1:10" x14ac:dyDescent="0.45">
      <c r="A131" t="s">
        <v>203</v>
      </c>
      <c r="B131" t="s">
        <v>238</v>
      </c>
      <c r="C131" t="s">
        <v>457</v>
      </c>
      <c r="D131">
        <v>5</v>
      </c>
      <c r="E131">
        <v>3</v>
      </c>
      <c r="F131">
        <v>0</v>
      </c>
      <c r="G131">
        <v>3</v>
      </c>
      <c r="H131" s="3" t="s">
        <v>244</v>
      </c>
      <c r="I131">
        <v>5564242</v>
      </c>
      <c r="J131">
        <v>63</v>
      </c>
    </row>
    <row r="132" spans="1:10" x14ac:dyDescent="0.45">
      <c r="A132" t="s">
        <v>200</v>
      </c>
      <c r="B132" t="s">
        <v>240</v>
      </c>
      <c r="C132" t="s">
        <v>458</v>
      </c>
      <c r="D132">
        <v>5</v>
      </c>
      <c r="E132">
        <v>3</v>
      </c>
      <c r="F132">
        <v>0</v>
      </c>
      <c r="G132">
        <v>3</v>
      </c>
      <c r="H132" s="3" t="s">
        <v>244</v>
      </c>
      <c r="I132">
        <v>2565028</v>
      </c>
      <c r="J132">
        <v>24</v>
      </c>
    </row>
    <row r="133" spans="1:10" x14ac:dyDescent="0.45">
      <c r="A133" t="s">
        <v>203</v>
      </c>
      <c r="B133" t="s">
        <v>240</v>
      </c>
      <c r="C133" t="s">
        <v>458</v>
      </c>
      <c r="D133">
        <v>5</v>
      </c>
      <c r="E133">
        <v>3</v>
      </c>
      <c r="F133">
        <v>0</v>
      </c>
      <c r="G133">
        <v>3</v>
      </c>
      <c r="H133" s="3" t="s">
        <v>244</v>
      </c>
      <c r="I133">
        <v>2565028</v>
      </c>
      <c r="J133">
        <v>31</v>
      </c>
    </row>
    <row r="134" spans="1:10" x14ac:dyDescent="0.45">
      <c r="A134" t="s">
        <v>200</v>
      </c>
      <c r="B134" t="s">
        <v>241</v>
      </c>
      <c r="C134" t="s">
        <v>242</v>
      </c>
      <c r="D134">
        <v>5</v>
      </c>
      <c r="E134">
        <v>3</v>
      </c>
      <c r="F134">
        <v>0</v>
      </c>
      <c r="G134">
        <v>3</v>
      </c>
      <c r="H134" s="3" t="s">
        <v>244</v>
      </c>
      <c r="I134">
        <v>3668244</v>
      </c>
      <c r="J134">
        <v>59</v>
      </c>
    </row>
    <row r="135" spans="1:10" x14ac:dyDescent="0.45">
      <c r="A135" t="s">
        <v>203</v>
      </c>
      <c r="B135" t="s">
        <v>241</v>
      </c>
      <c r="C135" t="s">
        <v>242</v>
      </c>
      <c r="D135">
        <v>5</v>
      </c>
      <c r="E135">
        <v>3</v>
      </c>
      <c r="F135">
        <v>0</v>
      </c>
      <c r="G135">
        <v>3</v>
      </c>
      <c r="H135" s="3" t="s">
        <v>244</v>
      </c>
      <c r="I135">
        <v>3668244</v>
      </c>
      <c r="J135">
        <v>62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D92F-40C9-4DD4-A691-BF84D5E4AB97}">
  <dimension ref="A1:AB172"/>
  <sheetViews>
    <sheetView workbookViewId="0">
      <selection activeCell="AA2" sqref="AA2:AB172"/>
    </sheetView>
  </sheetViews>
  <sheetFormatPr defaultRowHeight="14.25" x14ac:dyDescent="0.45"/>
  <cols>
    <col min="1" max="1" width="12.1328125" bestFit="1" customWidth="1"/>
    <col min="6" max="6" width="37.59765625" bestFit="1" customWidth="1"/>
    <col min="7" max="7" width="9.86328125" bestFit="1" customWidth="1"/>
    <col min="8" max="8" width="12.73046875" bestFit="1" customWidth="1"/>
    <col min="27" max="27" width="38.1328125" bestFit="1" customWidth="1"/>
  </cols>
  <sheetData>
    <row r="1" spans="1:28" x14ac:dyDescent="0.45">
      <c r="F1" t="s">
        <v>388</v>
      </c>
      <c r="G1" t="s">
        <v>389</v>
      </c>
      <c r="H1" t="s">
        <v>390</v>
      </c>
      <c r="I1" t="s">
        <v>391</v>
      </c>
      <c r="J1" t="s">
        <v>392</v>
      </c>
      <c r="K1" t="s">
        <v>393</v>
      </c>
      <c r="L1" t="s">
        <v>394</v>
      </c>
      <c r="M1" t="s">
        <v>395</v>
      </c>
      <c r="N1" t="s">
        <v>396</v>
      </c>
      <c r="O1" t="s">
        <v>397</v>
      </c>
      <c r="P1" t="s">
        <v>398</v>
      </c>
      <c r="Q1" t="s">
        <v>399</v>
      </c>
      <c r="R1" t="s">
        <v>400</v>
      </c>
      <c r="S1" t="s">
        <v>401</v>
      </c>
      <c r="T1" t="s">
        <v>402</v>
      </c>
      <c r="U1" t="s">
        <v>403</v>
      </c>
      <c r="V1" t="s">
        <v>404</v>
      </c>
      <c r="W1" t="s">
        <v>405</v>
      </c>
      <c r="X1" t="s">
        <v>406</v>
      </c>
      <c r="Y1" t="s">
        <v>407</v>
      </c>
      <c r="Z1" t="s">
        <v>408</v>
      </c>
    </row>
    <row r="2" spans="1:28" x14ac:dyDescent="0.45">
      <c r="A2" t="s">
        <v>245</v>
      </c>
      <c r="B2">
        <v>1</v>
      </c>
      <c r="F2" t="s">
        <v>247</v>
      </c>
      <c r="G2" t="s">
        <v>252</v>
      </c>
      <c r="H2" t="s">
        <v>253</v>
      </c>
      <c r="K2" s="4">
        <f>IF(F2="Prof.Dr.",1,IF(F2="Doç.Dr.",2,IF(F2="Dr.Öğr.Üyesi",3,IF(F2="Öğr.Gör.Dr.",4,IF(F2="Öğr.Gör.",5,IF(F2="Arş.Gör.Dr.",6,IF(F2="Arş.Gör.",7,"YOK")))))))</f>
        <v>3</v>
      </c>
      <c r="L2" s="4">
        <f>LEN(G2)</f>
        <v>7</v>
      </c>
      <c r="M2" s="4">
        <f t="shared" ref="M2:N17" si="0">IF(LEN(H2)&gt;=10,MOD(LEN(H2),10),LEN(H2))</f>
        <v>5</v>
      </c>
      <c r="N2" s="4">
        <f t="shared" si="0"/>
        <v>0</v>
      </c>
      <c r="O2" t="str">
        <f>MID(G2,1,1)</f>
        <v>H</v>
      </c>
      <c r="P2">
        <f>MATCH(O2,$A$10:$A$41,0)</f>
        <v>10</v>
      </c>
      <c r="Q2" t="str">
        <f>UPPER(MID(G2,LEN(G2),1))</f>
        <v>N</v>
      </c>
      <c r="R2">
        <f>MATCH(Q2,$A$10:$A$41,0)</f>
        <v>17</v>
      </c>
      <c r="S2" s="4">
        <f>MOD(P2,7)</f>
        <v>3</v>
      </c>
      <c r="T2" s="4">
        <f>MOD(R2,7)</f>
        <v>3</v>
      </c>
      <c r="U2" t="str">
        <f>MID(H2,1,1)</f>
        <v>T</v>
      </c>
      <c r="V2">
        <f>MATCH(U2,$A$10:$A$41,0)</f>
        <v>25</v>
      </c>
      <c r="W2" t="str">
        <f>UPPER(MID(H2,LEN(H2),1))</f>
        <v>Z</v>
      </c>
      <c r="X2">
        <f>MATCH(W2,$A$10:$A$41,0)</f>
        <v>32</v>
      </c>
      <c r="Y2" s="4">
        <f>MOD(V2*X2,9)</f>
        <v>8</v>
      </c>
      <c r="Z2" t="str">
        <f>CONCATENATE(K2,L2,M2,N2,S2,T2,Y2)</f>
        <v>3750338</v>
      </c>
      <c r="AA2" t="str">
        <f>CONCATENATE(F2," ",G2," ",H2," ",I2," ",J2)</f>
        <v xml:space="preserve">Dr.Öğr.Üyesi Hüseyin TOPUZ  </v>
      </c>
      <c r="AB2" t="str">
        <f>Z2</f>
        <v>3750338</v>
      </c>
    </row>
    <row r="3" spans="1:28" x14ac:dyDescent="0.45">
      <c r="A3" t="s">
        <v>246</v>
      </c>
      <c r="B3">
        <v>2</v>
      </c>
      <c r="F3" t="s">
        <v>246</v>
      </c>
      <c r="G3" t="s">
        <v>254</v>
      </c>
      <c r="H3" t="s">
        <v>255</v>
      </c>
      <c r="K3" s="4">
        <f t="shared" ref="K3:K66" si="1">IF(F3="Prof.Dr.",1,IF(F3="Doç.Dr.",2,IF(F3="Dr.Öğr.Üyesi",3,IF(F3="Öğr.Gör.Dr.",4,IF(F3="Öğr.Gör.",5,IF(F3="Arş.Gör.Dr.",6,IF(F3="Arş.Gör.",7,"YOK")))))))</f>
        <v>2</v>
      </c>
      <c r="L3" s="4">
        <f t="shared" ref="L3:L66" si="2">LEN(G3)</f>
        <v>7</v>
      </c>
      <c r="M3" s="4">
        <f t="shared" si="0"/>
        <v>5</v>
      </c>
      <c r="N3" s="4">
        <f t="shared" si="0"/>
        <v>0</v>
      </c>
      <c r="O3" t="str">
        <f t="shared" ref="O3:O66" si="3">MID(G3,1,1)</f>
        <v>A</v>
      </c>
      <c r="P3">
        <f t="shared" ref="P3:P66" si="4">MATCH(O3,$A$10:$A$41,0)</f>
        <v>1</v>
      </c>
      <c r="Q3" t="str">
        <f t="shared" ref="Q3:Q66" si="5">UPPER(MID(G3,LEN(G3),1))</f>
        <v>L</v>
      </c>
      <c r="R3">
        <f t="shared" ref="R3:R66" si="6">MATCH(Q3,$A$10:$A$41,0)</f>
        <v>15</v>
      </c>
      <c r="S3" s="4">
        <f t="shared" ref="S3:S66" si="7">MOD(P3,7)</f>
        <v>1</v>
      </c>
      <c r="T3" s="4">
        <f t="shared" ref="T3:T66" si="8">MOD(R3,7)</f>
        <v>1</v>
      </c>
      <c r="U3" t="str">
        <f t="shared" ref="U3:U66" si="9">MID(H3,1,1)</f>
        <v>C</v>
      </c>
      <c r="V3">
        <f t="shared" ref="V3:V66" si="10">MATCH(U3,$A$10:$A$41,0)</f>
        <v>3</v>
      </c>
      <c r="W3" t="str">
        <f t="shared" ref="W3:W66" si="11">UPPER(MID(H3,LEN(H3),1))</f>
        <v>R</v>
      </c>
      <c r="X3">
        <f t="shared" ref="X3:X66" si="12">MATCH(W3,$A$10:$A$41,0)</f>
        <v>22</v>
      </c>
      <c r="Y3" s="4">
        <f t="shared" ref="Y3:Y66" si="13">MOD(V3*X3,9)</f>
        <v>3</v>
      </c>
      <c r="Z3" t="str">
        <f t="shared" ref="Z3:Z66" si="14">CONCATENATE(K3,L3,M3,N3,S3,T3,Y3)</f>
        <v>2750113</v>
      </c>
      <c r="AA3" t="str">
        <f t="shared" ref="AA3:AA66" si="15">CONCATENATE(F3," ",G3," ",H3," ",I3," ",J3)</f>
        <v xml:space="preserve">Doç.Dr. AYŞEGÜL CİĞER  </v>
      </c>
      <c r="AB3" t="str">
        <f t="shared" ref="AB3:AB66" si="16">Z3</f>
        <v>2750113</v>
      </c>
    </row>
    <row r="4" spans="1:28" x14ac:dyDescent="0.45">
      <c r="A4" t="s">
        <v>247</v>
      </c>
      <c r="B4">
        <v>3</v>
      </c>
      <c r="F4" t="s">
        <v>246</v>
      </c>
      <c r="G4" t="s">
        <v>256</v>
      </c>
      <c r="H4" t="s">
        <v>257</v>
      </c>
      <c r="K4" s="4">
        <f t="shared" si="1"/>
        <v>2</v>
      </c>
      <c r="L4" s="4">
        <f t="shared" si="2"/>
        <v>4</v>
      </c>
      <c r="M4" s="4">
        <f t="shared" si="0"/>
        <v>0</v>
      </c>
      <c r="N4" s="4">
        <f t="shared" si="0"/>
        <v>0</v>
      </c>
      <c r="O4" t="str">
        <f t="shared" si="3"/>
        <v>N</v>
      </c>
      <c r="P4">
        <f t="shared" si="4"/>
        <v>17</v>
      </c>
      <c r="Q4" t="str">
        <f t="shared" si="5"/>
        <v>İ</v>
      </c>
      <c r="R4">
        <f t="shared" si="6"/>
        <v>12</v>
      </c>
      <c r="S4" s="4">
        <f t="shared" si="7"/>
        <v>3</v>
      </c>
      <c r="T4" s="4">
        <f t="shared" si="8"/>
        <v>5</v>
      </c>
      <c r="U4" t="str">
        <f t="shared" si="9"/>
        <v>A</v>
      </c>
      <c r="V4">
        <f t="shared" si="10"/>
        <v>1</v>
      </c>
      <c r="W4" t="str">
        <f t="shared" si="11"/>
        <v>L</v>
      </c>
      <c r="X4">
        <f t="shared" si="12"/>
        <v>15</v>
      </c>
      <c r="Y4" s="4">
        <f t="shared" si="13"/>
        <v>6</v>
      </c>
      <c r="Z4" t="str">
        <f t="shared" si="14"/>
        <v>2400356</v>
      </c>
      <c r="AA4" t="str">
        <f t="shared" si="15"/>
        <v xml:space="preserve">Doç.Dr. NURİ AVŞARLIGİL  </v>
      </c>
      <c r="AB4" t="str">
        <f t="shared" si="16"/>
        <v>2400356</v>
      </c>
    </row>
    <row r="5" spans="1:28" x14ac:dyDescent="0.45">
      <c r="A5" t="s">
        <v>248</v>
      </c>
      <c r="B5">
        <v>4</v>
      </c>
      <c r="F5" t="s">
        <v>248</v>
      </c>
      <c r="G5" t="s">
        <v>258</v>
      </c>
      <c r="H5" t="s">
        <v>259</v>
      </c>
      <c r="I5" t="s">
        <v>260</v>
      </c>
      <c r="K5" s="4">
        <f t="shared" si="1"/>
        <v>4</v>
      </c>
      <c r="L5" s="4">
        <f t="shared" si="2"/>
        <v>5</v>
      </c>
      <c r="M5" s="4">
        <f t="shared" si="0"/>
        <v>6</v>
      </c>
      <c r="N5" s="4">
        <f t="shared" si="0"/>
        <v>5</v>
      </c>
      <c r="O5" t="str">
        <f t="shared" si="3"/>
        <v>D</v>
      </c>
      <c r="P5">
        <f t="shared" si="4"/>
        <v>5</v>
      </c>
      <c r="Q5" t="str">
        <f t="shared" si="5"/>
        <v>U</v>
      </c>
      <c r="R5">
        <f t="shared" si="6"/>
        <v>26</v>
      </c>
      <c r="S5" s="4">
        <f t="shared" si="7"/>
        <v>5</v>
      </c>
      <c r="T5" s="4">
        <f t="shared" si="8"/>
        <v>5</v>
      </c>
      <c r="U5" t="str">
        <f t="shared" si="9"/>
        <v>T</v>
      </c>
      <c r="V5">
        <f t="shared" si="10"/>
        <v>25</v>
      </c>
      <c r="W5" t="str">
        <f t="shared" si="11"/>
        <v>T</v>
      </c>
      <c r="X5">
        <f t="shared" si="12"/>
        <v>25</v>
      </c>
      <c r="Y5" s="4">
        <f t="shared" si="13"/>
        <v>4</v>
      </c>
      <c r="Z5" t="str">
        <f t="shared" si="14"/>
        <v>4565554</v>
      </c>
      <c r="AA5" t="str">
        <f t="shared" si="15"/>
        <v xml:space="preserve">Öğr.Gör.Dr. DUYGU TURGUT GÜNEL </v>
      </c>
      <c r="AB5" t="str">
        <f t="shared" si="16"/>
        <v>4565554</v>
      </c>
    </row>
    <row r="6" spans="1:28" x14ac:dyDescent="0.45">
      <c r="A6" t="s">
        <v>249</v>
      </c>
      <c r="B6">
        <v>5</v>
      </c>
      <c r="F6" t="s">
        <v>246</v>
      </c>
      <c r="G6" t="s">
        <v>261</v>
      </c>
      <c r="H6" t="s">
        <v>262</v>
      </c>
      <c r="K6" s="4">
        <f t="shared" si="1"/>
        <v>2</v>
      </c>
      <c r="L6" s="4">
        <f t="shared" si="2"/>
        <v>5</v>
      </c>
      <c r="M6" s="4">
        <f t="shared" si="0"/>
        <v>4</v>
      </c>
      <c r="N6" s="4">
        <f t="shared" si="0"/>
        <v>0</v>
      </c>
      <c r="O6" t="str">
        <f t="shared" si="3"/>
        <v>A</v>
      </c>
      <c r="P6">
        <f t="shared" si="4"/>
        <v>1</v>
      </c>
      <c r="Q6" t="str">
        <f t="shared" si="5"/>
        <v>T</v>
      </c>
      <c r="R6">
        <f t="shared" si="6"/>
        <v>25</v>
      </c>
      <c r="S6" s="4">
        <f t="shared" si="7"/>
        <v>1</v>
      </c>
      <c r="T6" s="4">
        <f t="shared" si="8"/>
        <v>4</v>
      </c>
      <c r="U6" t="str">
        <f t="shared" si="9"/>
        <v>K</v>
      </c>
      <c r="V6">
        <f t="shared" si="10"/>
        <v>14</v>
      </c>
      <c r="W6" t="str">
        <f t="shared" si="11"/>
        <v>A</v>
      </c>
      <c r="X6">
        <f t="shared" si="12"/>
        <v>1</v>
      </c>
      <c r="Y6" s="4">
        <f t="shared" si="13"/>
        <v>5</v>
      </c>
      <c r="Z6" t="str">
        <f t="shared" si="14"/>
        <v>2540145</v>
      </c>
      <c r="AA6" t="str">
        <f t="shared" si="15"/>
        <v xml:space="preserve">Doç.Dr. AHMET KAYA  </v>
      </c>
      <c r="AB6" t="str">
        <f t="shared" si="16"/>
        <v>2540145</v>
      </c>
    </row>
    <row r="7" spans="1:28" x14ac:dyDescent="0.45">
      <c r="A7" t="s">
        <v>250</v>
      </c>
      <c r="B7">
        <v>6</v>
      </c>
      <c r="F7" t="s">
        <v>246</v>
      </c>
      <c r="G7" t="s">
        <v>256</v>
      </c>
      <c r="H7" t="s">
        <v>257</v>
      </c>
      <c r="K7" s="4">
        <f t="shared" si="1"/>
        <v>2</v>
      </c>
      <c r="L7" s="4">
        <f t="shared" si="2"/>
        <v>4</v>
      </c>
      <c r="M7" s="4">
        <f t="shared" si="0"/>
        <v>0</v>
      </c>
      <c r="N7" s="4">
        <f t="shared" si="0"/>
        <v>0</v>
      </c>
      <c r="O7" t="str">
        <f t="shared" si="3"/>
        <v>N</v>
      </c>
      <c r="P7">
        <f t="shared" si="4"/>
        <v>17</v>
      </c>
      <c r="Q7" t="str">
        <f t="shared" si="5"/>
        <v>İ</v>
      </c>
      <c r="R7">
        <f t="shared" si="6"/>
        <v>12</v>
      </c>
      <c r="S7" s="4">
        <f t="shared" si="7"/>
        <v>3</v>
      </c>
      <c r="T7" s="4">
        <f t="shared" si="8"/>
        <v>5</v>
      </c>
      <c r="U7" t="str">
        <f t="shared" si="9"/>
        <v>A</v>
      </c>
      <c r="V7">
        <f t="shared" si="10"/>
        <v>1</v>
      </c>
      <c r="W7" t="str">
        <f t="shared" si="11"/>
        <v>L</v>
      </c>
      <c r="X7">
        <f t="shared" si="12"/>
        <v>15</v>
      </c>
      <c r="Y7" s="4">
        <f t="shared" si="13"/>
        <v>6</v>
      </c>
      <c r="Z7" t="str">
        <f t="shared" si="14"/>
        <v>2400356</v>
      </c>
      <c r="AA7" t="str">
        <f t="shared" si="15"/>
        <v xml:space="preserve">Doç.Dr. NURİ AVŞARLIGİL  </v>
      </c>
      <c r="AB7" t="str">
        <f t="shared" si="16"/>
        <v>2400356</v>
      </c>
    </row>
    <row r="8" spans="1:28" x14ac:dyDescent="0.45">
      <c r="A8" t="s">
        <v>251</v>
      </c>
      <c r="B8">
        <v>7</v>
      </c>
      <c r="F8" t="s">
        <v>246</v>
      </c>
      <c r="G8" t="s">
        <v>263</v>
      </c>
      <c r="H8" t="s">
        <v>264</v>
      </c>
      <c r="I8" t="s">
        <v>265</v>
      </c>
      <c r="K8" s="4">
        <f t="shared" si="1"/>
        <v>2</v>
      </c>
      <c r="L8" s="4">
        <f t="shared" si="2"/>
        <v>5</v>
      </c>
      <c r="M8" s="4">
        <f t="shared" si="0"/>
        <v>5</v>
      </c>
      <c r="N8" s="4">
        <f t="shared" si="0"/>
        <v>6</v>
      </c>
      <c r="O8" t="str">
        <f t="shared" si="3"/>
        <v>N</v>
      </c>
      <c r="P8">
        <f t="shared" si="4"/>
        <v>17</v>
      </c>
      <c r="Q8" t="str">
        <f t="shared" si="5"/>
        <v>N</v>
      </c>
      <c r="R8">
        <f t="shared" si="6"/>
        <v>17</v>
      </c>
      <c r="S8" s="4">
        <f t="shared" si="7"/>
        <v>3</v>
      </c>
      <c r="T8" s="4">
        <f t="shared" si="8"/>
        <v>3</v>
      </c>
      <c r="U8" t="str">
        <f t="shared" si="9"/>
        <v>Ö</v>
      </c>
      <c r="V8">
        <f t="shared" si="10"/>
        <v>19</v>
      </c>
      <c r="W8" t="str">
        <f t="shared" si="11"/>
        <v>Z</v>
      </c>
      <c r="X8">
        <f t="shared" si="12"/>
        <v>32</v>
      </c>
      <c r="Y8" s="4">
        <f t="shared" si="13"/>
        <v>5</v>
      </c>
      <c r="Z8" t="str">
        <f t="shared" si="14"/>
        <v>2556335</v>
      </c>
      <c r="AA8" t="str">
        <f t="shared" si="15"/>
        <v xml:space="preserve">Doç.Dr. NİHAN ÖKSÜZ NARİNÇ </v>
      </c>
      <c r="AB8" t="str">
        <f t="shared" si="16"/>
        <v>2556335</v>
      </c>
    </row>
    <row r="9" spans="1:28" x14ac:dyDescent="0.45">
      <c r="F9" t="s">
        <v>246</v>
      </c>
      <c r="G9" t="s">
        <v>263</v>
      </c>
      <c r="H9" t="s">
        <v>264</v>
      </c>
      <c r="I9" t="s">
        <v>265</v>
      </c>
      <c r="K9" s="4">
        <f t="shared" si="1"/>
        <v>2</v>
      </c>
      <c r="L9" s="4">
        <f t="shared" si="2"/>
        <v>5</v>
      </c>
      <c r="M9" s="4">
        <f t="shared" si="0"/>
        <v>5</v>
      </c>
      <c r="N9" s="4">
        <f t="shared" si="0"/>
        <v>6</v>
      </c>
      <c r="O9" t="str">
        <f t="shared" si="3"/>
        <v>N</v>
      </c>
      <c r="P9">
        <f t="shared" si="4"/>
        <v>17</v>
      </c>
      <c r="Q9" t="str">
        <f t="shared" si="5"/>
        <v>N</v>
      </c>
      <c r="R9">
        <f t="shared" si="6"/>
        <v>17</v>
      </c>
      <c r="S9" s="4">
        <f t="shared" si="7"/>
        <v>3</v>
      </c>
      <c r="T9" s="4">
        <f t="shared" si="8"/>
        <v>3</v>
      </c>
      <c r="U9" t="str">
        <f t="shared" si="9"/>
        <v>Ö</v>
      </c>
      <c r="V9">
        <f t="shared" si="10"/>
        <v>19</v>
      </c>
      <c r="W9" t="str">
        <f t="shared" si="11"/>
        <v>Z</v>
      </c>
      <c r="X9">
        <f t="shared" si="12"/>
        <v>32</v>
      </c>
      <c r="Y9" s="4">
        <f t="shared" si="13"/>
        <v>5</v>
      </c>
      <c r="Z9" t="str">
        <f t="shared" si="14"/>
        <v>2556335</v>
      </c>
      <c r="AA9" t="str">
        <f t="shared" si="15"/>
        <v xml:space="preserve">Doç.Dr. NİHAN ÖKSÜZ NARİNÇ </v>
      </c>
      <c r="AB9" t="str">
        <f t="shared" si="16"/>
        <v>2556335</v>
      </c>
    </row>
    <row r="10" spans="1:28" x14ac:dyDescent="0.45">
      <c r="A10" t="s">
        <v>358</v>
      </c>
      <c r="F10" t="s">
        <v>246</v>
      </c>
      <c r="G10" t="s">
        <v>266</v>
      </c>
      <c r="H10" t="s">
        <v>267</v>
      </c>
      <c r="K10" s="4">
        <f t="shared" si="1"/>
        <v>2</v>
      </c>
      <c r="L10" s="4">
        <f t="shared" si="2"/>
        <v>6</v>
      </c>
      <c r="M10" s="4">
        <f t="shared" si="0"/>
        <v>8</v>
      </c>
      <c r="N10" s="4">
        <f t="shared" si="0"/>
        <v>0</v>
      </c>
      <c r="O10" t="str">
        <f t="shared" si="3"/>
        <v>F</v>
      </c>
      <c r="P10">
        <f t="shared" si="4"/>
        <v>7</v>
      </c>
      <c r="Q10" t="str">
        <f t="shared" si="5"/>
        <v>N</v>
      </c>
      <c r="R10">
        <f t="shared" si="6"/>
        <v>17</v>
      </c>
      <c r="S10" s="4">
        <f t="shared" si="7"/>
        <v>0</v>
      </c>
      <c r="T10" s="4">
        <f t="shared" si="8"/>
        <v>3</v>
      </c>
      <c r="U10" t="str">
        <f t="shared" si="9"/>
        <v>Y</v>
      </c>
      <c r="V10">
        <f t="shared" si="10"/>
        <v>31</v>
      </c>
      <c r="W10" t="str">
        <f t="shared" si="11"/>
        <v>M</v>
      </c>
      <c r="X10">
        <f t="shared" si="12"/>
        <v>16</v>
      </c>
      <c r="Y10" s="4">
        <f t="shared" si="13"/>
        <v>1</v>
      </c>
      <c r="Z10" t="str">
        <f t="shared" si="14"/>
        <v>2680031</v>
      </c>
      <c r="AA10" t="str">
        <f t="shared" si="15"/>
        <v xml:space="preserve">Doç.Dr. FURKAN YILDIRIM  </v>
      </c>
      <c r="AB10" t="str">
        <f t="shared" si="16"/>
        <v>2680031</v>
      </c>
    </row>
    <row r="11" spans="1:28" x14ac:dyDescent="0.45">
      <c r="A11" t="s">
        <v>359</v>
      </c>
      <c r="F11" t="s">
        <v>246</v>
      </c>
      <c r="G11" t="s">
        <v>266</v>
      </c>
      <c r="H11" t="s">
        <v>267</v>
      </c>
      <c r="K11" s="4">
        <f t="shared" si="1"/>
        <v>2</v>
      </c>
      <c r="L11" s="4">
        <f t="shared" si="2"/>
        <v>6</v>
      </c>
      <c r="M11" s="4">
        <f t="shared" si="0"/>
        <v>8</v>
      </c>
      <c r="N11" s="4">
        <f t="shared" si="0"/>
        <v>0</v>
      </c>
      <c r="O11" t="str">
        <f t="shared" si="3"/>
        <v>F</v>
      </c>
      <c r="P11">
        <f t="shared" si="4"/>
        <v>7</v>
      </c>
      <c r="Q11" t="str">
        <f t="shared" si="5"/>
        <v>N</v>
      </c>
      <c r="R11">
        <f t="shared" si="6"/>
        <v>17</v>
      </c>
      <c r="S11" s="4">
        <f t="shared" si="7"/>
        <v>0</v>
      </c>
      <c r="T11" s="4">
        <f t="shared" si="8"/>
        <v>3</v>
      </c>
      <c r="U11" t="str">
        <f t="shared" si="9"/>
        <v>Y</v>
      </c>
      <c r="V11">
        <f t="shared" si="10"/>
        <v>31</v>
      </c>
      <c r="W11" t="str">
        <f t="shared" si="11"/>
        <v>M</v>
      </c>
      <c r="X11">
        <f t="shared" si="12"/>
        <v>16</v>
      </c>
      <c r="Y11" s="4">
        <f t="shared" si="13"/>
        <v>1</v>
      </c>
      <c r="Z11" t="str">
        <f t="shared" si="14"/>
        <v>2680031</v>
      </c>
      <c r="AA11" t="str">
        <f t="shared" si="15"/>
        <v xml:space="preserve">Doç.Dr. FURKAN YILDIRIM  </v>
      </c>
      <c r="AB11" t="str">
        <f t="shared" si="16"/>
        <v>2680031</v>
      </c>
    </row>
    <row r="12" spans="1:28" x14ac:dyDescent="0.45">
      <c r="A12" t="s">
        <v>360</v>
      </c>
      <c r="F12" t="s">
        <v>246</v>
      </c>
      <c r="G12" t="s">
        <v>261</v>
      </c>
      <c r="H12" t="s">
        <v>262</v>
      </c>
      <c r="K12" s="4">
        <f t="shared" si="1"/>
        <v>2</v>
      </c>
      <c r="L12" s="4">
        <f t="shared" si="2"/>
        <v>5</v>
      </c>
      <c r="M12" s="4">
        <f t="shared" si="0"/>
        <v>4</v>
      </c>
      <c r="N12" s="4">
        <f t="shared" si="0"/>
        <v>0</v>
      </c>
      <c r="O12" t="str">
        <f t="shared" si="3"/>
        <v>A</v>
      </c>
      <c r="P12">
        <f t="shared" si="4"/>
        <v>1</v>
      </c>
      <c r="Q12" t="str">
        <f t="shared" si="5"/>
        <v>T</v>
      </c>
      <c r="R12">
        <f t="shared" si="6"/>
        <v>25</v>
      </c>
      <c r="S12" s="4">
        <f t="shared" si="7"/>
        <v>1</v>
      </c>
      <c r="T12" s="4">
        <f t="shared" si="8"/>
        <v>4</v>
      </c>
      <c r="U12" t="str">
        <f t="shared" si="9"/>
        <v>K</v>
      </c>
      <c r="V12">
        <f t="shared" si="10"/>
        <v>14</v>
      </c>
      <c r="W12" t="str">
        <f t="shared" si="11"/>
        <v>A</v>
      </c>
      <c r="X12">
        <f t="shared" si="12"/>
        <v>1</v>
      </c>
      <c r="Y12" s="4">
        <f t="shared" si="13"/>
        <v>5</v>
      </c>
      <c r="Z12" t="str">
        <f t="shared" si="14"/>
        <v>2540145</v>
      </c>
      <c r="AA12" t="str">
        <f t="shared" si="15"/>
        <v xml:space="preserve">Doç.Dr. AHMET KAYA  </v>
      </c>
      <c r="AB12" t="str">
        <f t="shared" si="16"/>
        <v>2540145</v>
      </c>
    </row>
    <row r="13" spans="1:28" x14ac:dyDescent="0.45">
      <c r="A13" t="s">
        <v>361</v>
      </c>
      <c r="F13" t="s">
        <v>246</v>
      </c>
      <c r="G13" t="s">
        <v>268</v>
      </c>
      <c r="H13" t="s">
        <v>269</v>
      </c>
      <c r="K13" s="4">
        <f t="shared" si="1"/>
        <v>2</v>
      </c>
      <c r="L13" s="4">
        <f t="shared" si="2"/>
        <v>4</v>
      </c>
      <c r="M13" s="4">
        <f t="shared" si="0"/>
        <v>6</v>
      </c>
      <c r="N13" s="4">
        <f t="shared" si="0"/>
        <v>0</v>
      </c>
      <c r="O13" t="str">
        <f t="shared" si="3"/>
        <v>S</v>
      </c>
      <c r="P13">
        <f t="shared" si="4"/>
        <v>23</v>
      </c>
      <c r="Q13" t="str">
        <f t="shared" si="5"/>
        <v>A</v>
      </c>
      <c r="R13">
        <f t="shared" si="6"/>
        <v>1</v>
      </c>
      <c r="S13" s="4">
        <f t="shared" si="7"/>
        <v>2</v>
      </c>
      <c r="T13" s="4">
        <f t="shared" si="8"/>
        <v>1</v>
      </c>
      <c r="U13" t="str">
        <f t="shared" si="9"/>
        <v>S</v>
      </c>
      <c r="V13">
        <f t="shared" si="10"/>
        <v>23</v>
      </c>
      <c r="W13" t="str">
        <f t="shared" si="11"/>
        <v>Z</v>
      </c>
      <c r="X13">
        <f t="shared" si="12"/>
        <v>32</v>
      </c>
      <c r="Y13" s="4">
        <f t="shared" si="13"/>
        <v>7</v>
      </c>
      <c r="Z13" t="str">
        <f t="shared" si="14"/>
        <v>2460217</v>
      </c>
      <c r="AA13" t="str">
        <f t="shared" si="15"/>
        <v xml:space="preserve">Doç.Dr. SEDA SÖNMEZ  </v>
      </c>
      <c r="AB13" t="str">
        <f t="shared" si="16"/>
        <v>2460217</v>
      </c>
    </row>
    <row r="14" spans="1:28" x14ac:dyDescent="0.45">
      <c r="A14" t="s">
        <v>362</v>
      </c>
      <c r="F14" t="s">
        <v>249</v>
      </c>
      <c r="G14" t="s">
        <v>270</v>
      </c>
      <c r="H14" t="s">
        <v>271</v>
      </c>
      <c r="K14" s="4">
        <f t="shared" si="1"/>
        <v>5</v>
      </c>
      <c r="L14" s="4">
        <f t="shared" si="2"/>
        <v>7</v>
      </c>
      <c r="M14" s="4">
        <f t="shared" si="0"/>
        <v>8</v>
      </c>
      <c r="N14" s="4">
        <f t="shared" si="0"/>
        <v>0</v>
      </c>
      <c r="O14" t="str">
        <f t="shared" si="3"/>
        <v>M</v>
      </c>
      <c r="P14">
        <f t="shared" si="4"/>
        <v>16</v>
      </c>
      <c r="Q14" t="str">
        <f t="shared" si="5"/>
        <v>N</v>
      </c>
      <c r="R14">
        <f t="shared" si="6"/>
        <v>17</v>
      </c>
      <c r="S14" s="4">
        <f t="shared" si="7"/>
        <v>2</v>
      </c>
      <c r="T14" s="4">
        <f t="shared" si="8"/>
        <v>3</v>
      </c>
      <c r="U14" t="str">
        <f t="shared" si="9"/>
        <v>Y</v>
      </c>
      <c r="V14">
        <f t="shared" si="10"/>
        <v>31</v>
      </c>
      <c r="W14" t="str">
        <f t="shared" si="11"/>
        <v>I</v>
      </c>
      <c r="X14">
        <f t="shared" si="12"/>
        <v>11</v>
      </c>
      <c r="Y14" s="4">
        <f t="shared" si="13"/>
        <v>8</v>
      </c>
      <c r="Z14" t="str">
        <f t="shared" si="14"/>
        <v>5780238</v>
      </c>
      <c r="AA14" t="str">
        <f t="shared" si="15"/>
        <v xml:space="preserve">Öğr.Gör. METEHAN YAYKAŞLI  </v>
      </c>
      <c r="AB14" t="str">
        <f t="shared" si="16"/>
        <v>5780238</v>
      </c>
    </row>
    <row r="15" spans="1:28" x14ac:dyDescent="0.45">
      <c r="A15" t="s">
        <v>363</v>
      </c>
      <c r="F15" t="s">
        <v>246</v>
      </c>
      <c r="G15" t="s">
        <v>272</v>
      </c>
      <c r="H15" t="s">
        <v>273</v>
      </c>
      <c r="K15" s="4">
        <f t="shared" si="1"/>
        <v>2</v>
      </c>
      <c r="L15" s="4">
        <f t="shared" si="2"/>
        <v>4</v>
      </c>
      <c r="M15" s="4">
        <f t="shared" si="0"/>
        <v>4</v>
      </c>
      <c r="N15" s="4">
        <f t="shared" si="0"/>
        <v>0</v>
      </c>
      <c r="O15" t="str">
        <f t="shared" si="3"/>
        <v>U</v>
      </c>
      <c r="P15">
        <f t="shared" si="4"/>
        <v>26</v>
      </c>
      <c r="Q15" t="str">
        <f t="shared" si="5"/>
        <v>Ş</v>
      </c>
      <c r="R15">
        <f t="shared" si="6"/>
        <v>24</v>
      </c>
      <c r="S15" s="4">
        <f t="shared" si="7"/>
        <v>5</v>
      </c>
      <c r="T15" s="4">
        <f t="shared" si="8"/>
        <v>3</v>
      </c>
      <c r="U15" t="str">
        <f t="shared" si="9"/>
        <v>Ü</v>
      </c>
      <c r="V15">
        <f t="shared" si="10"/>
        <v>27</v>
      </c>
      <c r="W15" t="str">
        <f t="shared" si="11"/>
        <v>Ü</v>
      </c>
      <c r="X15">
        <f t="shared" si="12"/>
        <v>27</v>
      </c>
      <c r="Y15" s="4">
        <f t="shared" si="13"/>
        <v>0</v>
      </c>
      <c r="Z15" t="str">
        <f t="shared" si="14"/>
        <v>2440530</v>
      </c>
      <c r="AA15" t="str">
        <f t="shared" si="15"/>
        <v xml:space="preserve">Doç.Dr. ULAŞ ÜNLÜ  </v>
      </c>
      <c r="AB15" t="str">
        <f t="shared" si="16"/>
        <v>2440530</v>
      </c>
    </row>
    <row r="16" spans="1:28" x14ac:dyDescent="0.45">
      <c r="A16" t="s">
        <v>364</v>
      </c>
      <c r="F16" t="s">
        <v>246</v>
      </c>
      <c r="G16" t="s">
        <v>256</v>
      </c>
      <c r="H16" t="s">
        <v>257</v>
      </c>
      <c r="K16" s="4">
        <f t="shared" si="1"/>
        <v>2</v>
      </c>
      <c r="L16" s="4">
        <f t="shared" si="2"/>
        <v>4</v>
      </c>
      <c r="M16" s="4">
        <f>IF(LEN(H16)&gt;=10,MOD(LEN(H16),10),LEN(H16))</f>
        <v>0</v>
      </c>
      <c r="N16" s="4">
        <f t="shared" si="0"/>
        <v>0</v>
      </c>
      <c r="O16" t="str">
        <f t="shared" si="3"/>
        <v>N</v>
      </c>
      <c r="P16">
        <f t="shared" si="4"/>
        <v>17</v>
      </c>
      <c r="Q16" t="str">
        <f t="shared" si="5"/>
        <v>İ</v>
      </c>
      <c r="R16">
        <f t="shared" si="6"/>
        <v>12</v>
      </c>
      <c r="S16" s="4">
        <f t="shared" si="7"/>
        <v>3</v>
      </c>
      <c r="T16" s="4">
        <f t="shared" si="8"/>
        <v>5</v>
      </c>
      <c r="U16" t="str">
        <f t="shared" si="9"/>
        <v>A</v>
      </c>
      <c r="V16">
        <f t="shared" si="10"/>
        <v>1</v>
      </c>
      <c r="W16" t="str">
        <f t="shared" si="11"/>
        <v>L</v>
      </c>
      <c r="X16">
        <f t="shared" si="12"/>
        <v>15</v>
      </c>
      <c r="Y16" s="4">
        <f t="shared" si="13"/>
        <v>6</v>
      </c>
      <c r="Z16" t="str">
        <f t="shared" si="14"/>
        <v>2400356</v>
      </c>
      <c r="AA16" t="str">
        <f t="shared" si="15"/>
        <v xml:space="preserve">Doç.Dr. NURİ AVŞARLIGİL  </v>
      </c>
      <c r="AB16" t="str">
        <f t="shared" si="16"/>
        <v>2400356</v>
      </c>
    </row>
    <row r="17" spans="1:28" x14ac:dyDescent="0.45">
      <c r="A17" t="s">
        <v>365</v>
      </c>
      <c r="F17" t="s">
        <v>246</v>
      </c>
      <c r="G17" t="s">
        <v>272</v>
      </c>
      <c r="H17" t="s">
        <v>273</v>
      </c>
      <c r="K17" s="4">
        <f t="shared" si="1"/>
        <v>2</v>
      </c>
      <c r="L17" s="4">
        <f t="shared" si="2"/>
        <v>4</v>
      </c>
      <c r="M17" s="4">
        <f t="shared" ref="M17:N80" si="17">IF(LEN(H17)&gt;=10,MOD(LEN(H17),10),LEN(H17))</f>
        <v>4</v>
      </c>
      <c r="N17" s="4">
        <f t="shared" si="0"/>
        <v>0</v>
      </c>
      <c r="O17" t="str">
        <f t="shared" si="3"/>
        <v>U</v>
      </c>
      <c r="P17">
        <f t="shared" si="4"/>
        <v>26</v>
      </c>
      <c r="Q17" t="str">
        <f t="shared" si="5"/>
        <v>Ş</v>
      </c>
      <c r="R17">
        <f t="shared" si="6"/>
        <v>24</v>
      </c>
      <c r="S17" s="4">
        <f t="shared" si="7"/>
        <v>5</v>
      </c>
      <c r="T17" s="4">
        <f t="shared" si="8"/>
        <v>3</v>
      </c>
      <c r="U17" t="str">
        <f t="shared" si="9"/>
        <v>Ü</v>
      </c>
      <c r="V17">
        <f t="shared" si="10"/>
        <v>27</v>
      </c>
      <c r="W17" t="str">
        <f t="shared" si="11"/>
        <v>Ü</v>
      </c>
      <c r="X17">
        <f t="shared" si="12"/>
        <v>27</v>
      </c>
      <c r="Y17" s="4">
        <f t="shared" si="13"/>
        <v>0</v>
      </c>
      <c r="Z17" t="str">
        <f t="shared" si="14"/>
        <v>2440530</v>
      </c>
      <c r="AA17" t="str">
        <f t="shared" si="15"/>
        <v xml:space="preserve">Doç.Dr. ULAŞ ÜNLÜ  </v>
      </c>
      <c r="AB17" t="str">
        <f t="shared" si="16"/>
        <v>2440530</v>
      </c>
    </row>
    <row r="18" spans="1:28" x14ac:dyDescent="0.45">
      <c r="A18" t="s">
        <v>366</v>
      </c>
      <c r="F18" t="s">
        <v>246</v>
      </c>
      <c r="G18" t="s">
        <v>274</v>
      </c>
      <c r="H18" t="s">
        <v>275</v>
      </c>
      <c r="K18" s="4">
        <f t="shared" si="1"/>
        <v>2</v>
      </c>
      <c r="L18" s="4">
        <f t="shared" si="2"/>
        <v>5</v>
      </c>
      <c r="M18" s="4">
        <f t="shared" si="17"/>
        <v>5</v>
      </c>
      <c r="N18" s="4">
        <f t="shared" si="17"/>
        <v>0</v>
      </c>
      <c r="O18" t="str">
        <f t="shared" si="3"/>
        <v>F</v>
      </c>
      <c r="P18">
        <f t="shared" si="4"/>
        <v>7</v>
      </c>
      <c r="Q18" t="str">
        <f t="shared" si="5"/>
        <v>Z</v>
      </c>
      <c r="R18">
        <f t="shared" si="6"/>
        <v>32</v>
      </c>
      <c r="S18" s="4">
        <f t="shared" si="7"/>
        <v>0</v>
      </c>
      <c r="T18" s="4">
        <f t="shared" si="8"/>
        <v>4</v>
      </c>
      <c r="U18" t="str">
        <f t="shared" si="9"/>
        <v>Y</v>
      </c>
      <c r="V18">
        <f t="shared" si="10"/>
        <v>31</v>
      </c>
      <c r="W18" t="str">
        <f t="shared" si="11"/>
        <v>Z</v>
      </c>
      <c r="X18">
        <f t="shared" si="12"/>
        <v>32</v>
      </c>
      <c r="Y18" s="4">
        <f t="shared" si="13"/>
        <v>2</v>
      </c>
      <c r="Z18" t="str">
        <f t="shared" si="14"/>
        <v>2550042</v>
      </c>
      <c r="AA18" t="str">
        <f t="shared" si="15"/>
        <v xml:space="preserve">Doç.Dr. FİLİZ YETİZ  </v>
      </c>
      <c r="AB18" t="str">
        <f t="shared" si="16"/>
        <v>2550042</v>
      </c>
    </row>
    <row r="19" spans="1:28" x14ac:dyDescent="0.45">
      <c r="A19" t="s">
        <v>367</v>
      </c>
      <c r="F19" t="s">
        <v>246</v>
      </c>
      <c r="G19" t="s">
        <v>274</v>
      </c>
      <c r="H19" t="s">
        <v>275</v>
      </c>
      <c r="K19" s="4">
        <f t="shared" si="1"/>
        <v>2</v>
      </c>
      <c r="L19" s="4">
        <f t="shared" si="2"/>
        <v>5</v>
      </c>
      <c r="M19" s="4">
        <f t="shared" si="17"/>
        <v>5</v>
      </c>
      <c r="N19" s="4">
        <f t="shared" si="17"/>
        <v>0</v>
      </c>
      <c r="O19" t="str">
        <f t="shared" si="3"/>
        <v>F</v>
      </c>
      <c r="P19">
        <f t="shared" si="4"/>
        <v>7</v>
      </c>
      <c r="Q19" t="str">
        <f t="shared" si="5"/>
        <v>Z</v>
      </c>
      <c r="R19">
        <f t="shared" si="6"/>
        <v>32</v>
      </c>
      <c r="S19" s="4">
        <f t="shared" si="7"/>
        <v>0</v>
      </c>
      <c r="T19" s="4">
        <f t="shared" si="8"/>
        <v>4</v>
      </c>
      <c r="U19" t="str">
        <f t="shared" si="9"/>
        <v>Y</v>
      </c>
      <c r="V19">
        <f t="shared" si="10"/>
        <v>31</v>
      </c>
      <c r="W19" t="str">
        <f t="shared" si="11"/>
        <v>Z</v>
      </c>
      <c r="X19">
        <f t="shared" si="12"/>
        <v>32</v>
      </c>
      <c r="Y19" s="4">
        <f t="shared" si="13"/>
        <v>2</v>
      </c>
      <c r="Z19" t="str">
        <f t="shared" si="14"/>
        <v>2550042</v>
      </c>
      <c r="AA19" t="str">
        <f t="shared" si="15"/>
        <v xml:space="preserve">Doç.Dr. FİLİZ YETİZ  </v>
      </c>
      <c r="AB19" t="str">
        <f t="shared" si="16"/>
        <v>2550042</v>
      </c>
    </row>
    <row r="20" spans="1:28" x14ac:dyDescent="0.45">
      <c r="A20" t="s">
        <v>368</v>
      </c>
      <c r="F20" t="s">
        <v>246</v>
      </c>
      <c r="G20" t="s">
        <v>272</v>
      </c>
      <c r="H20" t="s">
        <v>273</v>
      </c>
      <c r="K20" s="4">
        <f t="shared" si="1"/>
        <v>2</v>
      </c>
      <c r="L20" s="4">
        <f t="shared" si="2"/>
        <v>4</v>
      </c>
      <c r="M20" s="4">
        <f t="shared" si="17"/>
        <v>4</v>
      </c>
      <c r="N20" s="4">
        <f t="shared" si="17"/>
        <v>0</v>
      </c>
      <c r="O20" t="str">
        <f t="shared" si="3"/>
        <v>U</v>
      </c>
      <c r="P20">
        <f t="shared" si="4"/>
        <v>26</v>
      </c>
      <c r="Q20" t="str">
        <f t="shared" si="5"/>
        <v>Ş</v>
      </c>
      <c r="R20">
        <f t="shared" si="6"/>
        <v>24</v>
      </c>
      <c r="S20" s="4">
        <f t="shared" si="7"/>
        <v>5</v>
      </c>
      <c r="T20" s="4">
        <f t="shared" si="8"/>
        <v>3</v>
      </c>
      <c r="U20" t="str">
        <f t="shared" si="9"/>
        <v>Ü</v>
      </c>
      <c r="V20">
        <f t="shared" si="10"/>
        <v>27</v>
      </c>
      <c r="W20" t="str">
        <f t="shared" si="11"/>
        <v>Ü</v>
      </c>
      <c r="X20">
        <f t="shared" si="12"/>
        <v>27</v>
      </c>
      <c r="Y20" s="4">
        <f t="shared" si="13"/>
        <v>0</v>
      </c>
      <c r="Z20" t="str">
        <f t="shared" si="14"/>
        <v>2440530</v>
      </c>
      <c r="AA20" t="str">
        <f t="shared" si="15"/>
        <v xml:space="preserve">Doç.Dr. ULAŞ ÜNLÜ  </v>
      </c>
      <c r="AB20" t="str">
        <f t="shared" si="16"/>
        <v>2440530</v>
      </c>
    </row>
    <row r="21" spans="1:28" x14ac:dyDescent="0.45">
      <c r="A21" t="s">
        <v>369</v>
      </c>
      <c r="F21" t="s">
        <v>246</v>
      </c>
      <c r="G21" t="s">
        <v>254</v>
      </c>
      <c r="H21" t="s">
        <v>255</v>
      </c>
      <c r="K21" s="4">
        <f t="shared" si="1"/>
        <v>2</v>
      </c>
      <c r="L21" s="4">
        <f t="shared" si="2"/>
        <v>7</v>
      </c>
      <c r="M21" s="4">
        <f t="shared" si="17"/>
        <v>5</v>
      </c>
      <c r="N21" s="4">
        <f t="shared" si="17"/>
        <v>0</v>
      </c>
      <c r="O21" t="str">
        <f t="shared" si="3"/>
        <v>A</v>
      </c>
      <c r="P21">
        <f t="shared" si="4"/>
        <v>1</v>
      </c>
      <c r="Q21" t="str">
        <f t="shared" si="5"/>
        <v>L</v>
      </c>
      <c r="R21">
        <f t="shared" si="6"/>
        <v>15</v>
      </c>
      <c r="S21" s="4">
        <f t="shared" si="7"/>
        <v>1</v>
      </c>
      <c r="T21" s="4">
        <f t="shared" si="8"/>
        <v>1</v>
      </c>
      <c r="U21" t="str">
        <f t="shared" si="9"/>
        <v>C</v>
      </c>
      <c r="V21">
        <f t="shared" si="10"/>
        <v>3</v>
      </c>
      <c r="W21" t="str">
        <f t="shared" si="11"/>
        <v>R</v>
      </c>
      <c r="X21">
        <f t="shared" si="12"/>
        <v>22</v>
      </c>
      <c r="Y21" s="4">
        <f t="shared" si="13"/>
        <v>3</v>
      </c>
      <c r="Z21" t="str">
        <f t="shared" si="14"/>
        <v>2750113</v>
      </c>
      <c r="AA21" t="str">
        <f t="shared" si="15"/>
        <v xml:space="preserve">Doç.Dr. AYŞEGÜL CİĞER  </v>
      </c>
      <c r="AB21" t="str">
        <f t="shared" si="16"/>
        <v>2750113</v>
      </c>
    </row>
    <row r="22" spans="1:28" x14ac:dyDescent="0.45">
      <c r="A22" t="s">
        <v>370</v>
      </c>
      <c r="F22" t="s">
        <v>246</v>
      </c>
      <c r="G22" t="s">
        <v>268</v>
      </c>
      <c r="H22" t="s">
        <v>269</v>
      </c>
      <c r="K22" s="4">
        <f t="shared" si="1"/>
        <v>2</v>
      </c>
      <c r="L22" s="4">
        <f t="shared" si="2"/>
        <v>4</v>
      </c>
      <c r="M22" s="4">
        <f t="shared" si="17"/>
        <v>6</v>
      </c>
      <c r="N22" s="4">
        <f t="shared" si="17"/>
        <v>0</v>
      </c>
      <c r="O22" t="str">
        <f t="shared" si="3"/>
        <v>S</v>
      </c>
      <c r="P22">
        <f t="shared" si="4"/>
        <v>23</v>
      </c>
      <c r="Q22" t="str">
        <f t="shared" si="5"/>
        <v>A</v>
      </c>
      <c r="R22">
        <f t="shared" si="6"/>
        <v>1</v>
      </c>
      <c r="S22" s="4">
        <f t="shared" si="7"/>
        <v>2</v>
      </c>
      <c r="T22" s="4">
        <f t="shared" si="8"/>
        <v>1</v>
      </c>
      <c r="U22" t="str">
        <f t="shared" si="9"/>
        <v>S</v>
      </c>
      <c r="V22">
        <f t="shared" si="10"/>
        <v>23</v>
      </c>
      <c r="W22" t="str">
        <f t="shared" si="11"/>
        <v>Z</v>
      </c>
      <c r="X22">
        <f t="shared" si="12"/>
        <v>32</v>
      </c>
      <c r="Y22" s="4">
        <f t="shared" si="13"/>
        <v>7</v>
      </c>
      <c r="Z22" t="str">
        <f t="shared" si="14"/>
        <v>2460217</v>
      </c>
      <c r="AA22" t="str">
        <f t="shared" si="15"/>
        <v xml:space="preserve">Doç.Dr. SEDA SÖNMEZ  </v>
      </c>
      <c r="AB22" t="str">
        <f t="shared" si="16"/>
        <v>2460217</v>
      </c>
    </row>
    <row r="23" spans="1:28" x14ac:dyDescent="0.45">
      <c r="A23" t="s">
        <v>371</v>
      </c>
      <c r="F23" t="s">
        <v>246</v>
      </c>
      <c r="G23" t="s">
        <v>256</v>
      </c>
      <c r="H23" t="s">
        <v>257</v>
      </c>
      <c r="K23" s="4">
        <f t="shared" si="1"/>
        <v>2</v>
      </c>
      <c r="L23" s="4">
        <f t="shared" si="2"/>
        <v>4</v>
      </c>
      <c r="M23" s="4">
        <f t="shared" si="17"/>
        <v>0</v>
      </c>
      <c r="N23" s="4">
        <f t="shared" si="17"/>
        <v>0</v>
      </c>
      <c r="O23" t="str">
        <f t="shared" si="3"/>
        <v>N</v>
      </c>
      <c r="P23">
        <f t="shared" si="4"/>
        <v>17</v>
      </c>
      <c r="Q23" t="str">
        <f t="shared" si="5"/>
        <v>İ</v>
      </c>
      <c r="R23">
        <f t="shared" si="6"/>
        <v>12</v>
      </c>
      <c r="S23" s="4">
        <f t="shared" si="7"/>
        <v>3</v>
      </c>
      <c r="T23" s="4">
        <f t="shared" si="8"/>
        <v>5</v>
      </c>
      <c r="U23" t="str">
        <f t="shared" si="9"/>
        <v>A</v>
      </c>
      <c r="V23">
        <f t="shared" si="10"/>
        <v>1</v>
      </c>
      <c r="W23" t="str">
        <f t="shared" si="11"/>
        <v>L</v>
      </c>
      <c r="X23">
        <f t="shared" si="12"/>
        <v>15</v>
      </c>
      <c r="Y23" s="4">
        <f t="shared" si="13"/>
        <v>6</v>
      </c>
      <c r="Z23" t="str">
        <f t="shared" si="14"/>
        <v>2400356</v>
      </c>
      <c r="AA23" t="str">
        <f t="shared" si="15"/>
        <v xml:space="preserve">Doç.Dr. NURİ AVŞARLIGİL  </v>
      </c>
      <c r="AB23" t="str">
        <f t="shared" si="16"/>
        <v>2400356</v>
      </c>
    </row>
    <row r="24" spans="1:28" x14ac:dyDescent="0.45">
      <c r="A24" t="s">
        <v>372</v>
      </c>
      <c r="F24" t="s">
        <v>246</v>
      </c>
      <c r="G24" t="s">
        <v>266</v>
      </c>
      <c r="H24" t="s">
        <v>267</v>
      </c>
      <c r="K24" s="4">
        <f t="shared" si="1"/>
        <v>2</v>
      </c>
      <c r="L24" s="4">
        <f t="shared" si="2"/>
        <v>6</v>
      </c>
      <c r="M24" s="4">
        <f t="shared" si="17"/>
        <v>8</v>
      </c>
      <c r="N24" s="4">
        <f t="shared" si="17"/>
        <v>0</v>
      </c>
      <c r="O24" t="str">
        <f t="shared" si="3"/>
        <v>F</v>
      </c>
      <c r="P24">
        <f t="shared" si="4"/>
        <v>7</v>
      </c>
      <c r="Q24" t="str">
        <f t="shared" si="5"/>
        <v>N</v>
      </c>
      <c r="R24">
        <f t="shared" si="6"/>
        <v>17</v>
      </c>
      <c r="S24" s="4">
        <f t="shared" si="7"/>
        <v>0</v>
      </c>
      <c r="T24" s="4">
        <f t="shared" si="8"/>
        <v>3</v>
      </c>
      <c r="U24" t="str">
        <f t="shared" si="9"/>
        <v>Y</v>
      </c>
      <c r="V24">
        <f t="shared" si="10"/>
        <v>31</v>
      </c>
      <c r="W24" t="str">
        <f t="shared" si="11"/>
        <v>M</v>
      </c>
      <c r="X24">
        <f t="shared" si="12"/>
        <v>16</v>
      </c>
      <c r="Y24" s="4">
        <f t="shared" si="13"/>
        <v>1</v>
      </c>
      <c r="Z24" t="str">
        <f t="shared" si="14"/>
        <v>2680031</v>
      </c>
      <c r="AA24" t="str">
        <f t="shared" si="15"/>
        <v xml:space="preserve">Doç.Dr. FURKAN YILDIRIM  </v>
      </c>
      <c r="AB24" t="str">
        <f t="shared" si="16"/>
        <v>2680031</v>
      </c>
    </row>
    <row r="25" spans="1:28" x14ac:dyDescent="0.45">
      <c r="A25" t="s">
        <v>373</v>
      </c>
      <c r="F25" t="s">
        <v>246</v>
      </c>
      <c r="G25" t="s">
        <v>268</v>
      </c>
      <c r="H25" t="s">
        <v>269</v>
      </c>
      <c r="K25" s="4">
        <f t="shared" si="1"/>
        <v>2</v>
      </c>
      <c r="L25" s="4">
        <f t="shared" si="2"/>
        <v>4</v>
      </c>
      <c r="M25" s="4">
        <f t="shared" si="17"/>
        <v>6</v>
      </c>
      <c r="N25" s="4">
        <f t="shared" si="17"/>
        <v>0</v>
      </c>
      <c r="O25" t="str">
        <f t="shared" si="3"/>
        <v>S</v>
      </c>
      <c r="P25">
        <f t="shared" si="4"/>
        <v>23</v>
      </c>
      <c r="Q25" t="str">
        <f t="shared" si="5"/>
        <v>A</v>
      </c>
      <c r="R25">
        <f t="shared" si="6"/>
        <v>1</v>
      </c>
      <c r="S25" s="4">
        <f t="shared" si="7"/>
        <v>2</v>
      </c>
      <c r="T25" s="4">
        <f t="shared" si="8"/>
        <v>1</v>
      </c>
      <c r="U25" t="str">
        <f t="shared" si="9"/>
        <v>S</v>
      </c>
      <c r="V25">
        <f t="shared" si="10"/>
        <v>23</v>
      </c>
      <c r="W25" t="str">
        <f t="shared" si="11"/>
        <v>Z</v>
      </c>
      <c r="X25">
        <f t="shared" si="12"/>
        <v>32</v>
      </c>
      <c r="Y25" s="4">
        <f t="shared" si="13"/>
        <v>7</v>
      </c>
      <c r="Z25" t="str">
        <f t="shared" si="14"/>
        <v>2460217</v>
      </c>
      <c r="AA25" t="str">
        <f t="shared" si="15"/>
        <v xml:space="preserve">Doç.Dr. SEDA SÖNMEZ  </v>
      </c>
      <c r="AB25" t="str">
        <f t="shared" si="16"/>
        <v>2460217</v>
      </c>
    </row>
    <row r="26" spans="1:28" x14ac:dyDescent="0.45">
      <c r="A26" t="s">
        <v>374</v>
      </c>
      <c r="F26" t="s">
        <v>246</v>
      </c>
      <c r="G26" t="s">
        <v>254</v>
      </c>
      <c r="H26" t="s">
        <v>255</v>
      </c>
      <c r="K26" s="4">
        <f t="shared" si="1"/>
        <v>2</v>
      </c>
      <c r="L26" s="4">
        <f t="shared" si="2"/>
        <v>7</v>
      </c>
      <c r="M26" s="4">
        <f t="shared" si="17"/>
        <v>5</v>
      </c>
      <c r="N26" s="4">
        <f t="shared" si="17"/>
        <v>0</v>
      </c>
      <c r="O26" t="str">
        <f t="shared" si="3"/>
        <v>A</v>
      </c>
      <c r="P26">
        <f t="shared" si="4"/>
        <v>1</v>
      </c>
      <c r="Q26" t="str">
        <f t="shared" si="5"/>
        <v>L</v>
      </c>
      <c r="R26">
        <f t="shared" si="6"/>
        <v>15</v>
      </c>
      <c r="S26" s="4">
        <f t="shared" si="7"/>
        <v>1</v>
      </c>
      <c r="T26" s="4">
        <f t="shared" si="8"/>
        <v>1</v>
      </c>
      <c r="U26" t="str">
        <f t="shared" si="9"/>
        <v>C</v>
      </c>
      <c r="V26">
        <f t="shared" si="10"/>
        <v>3</v>
      </c>
      <c r="W26" t="str">
        <f t="shared" si="11"/>
        <v>R</v>
      </c>
      <c r="X26">
        <f t="shared" si="12"/>
        <v>22</v>
      </c>
      <c r="Y26" s="4">
        <f t="shared" si="13"/>
        <v>3</v>
      </c>
      <c r="Z26" t="str">
        <f t="shared" si="14"/>
        <v>2750113</v>
      </c>
      <c r="AA26" t="str">
        <f t="shared" si="15"/>
        <v xml:space="preserve">Doç.Dr. AYŞEGÜL CİĞER  </v>
      </c>
      <c r="AB26" t="str">
        <f t="shared" si="16"/>
        <v>2750113</v>
      </c>
    </row>
    <row r="27" spans="1:28" x14ac:dyDescent="0.45">
      <c r="A27" t="s">
        <v>375</v>
      </c>
      <c r="F27" t="s">
        <v>246</v>
      </c>
      <c r="G27" t="s">
        <v>261</v>
      </c>
      <c r="H27" t="s">
        <v>262</v>
      </c>
      <c r="K27" s="4">
        <f t="shared" si="1"/>
        <v>2</v>
      </c>
      <c r="L27" s="4">
        <f t="shared" si="2"/>
        <v>5</v>
      </c>
      <c r="M27" s="4">
        <f t="shared" si="17"/>
        <v>4</v>
      </c>
      <c r="N27" s="4">
        <f t="shared" si="17"/>
        <v>0</v>
      </c>
      <c r="O27" t="str">
        <f t="shared" si="3"/>
        <v>A</v>
      </c>
      <c r="P27">
        <f t="shared" si="4"/>
        <v>1</v>
      </c>
      <c r="Q27" t="str">
        <f t="shared" si="5"/>
        <v>T</v>
      </c>
      <c r="R27">
        <f t="shared" si="6"/>
        <v>25</v>
      </c>
      <c r="S27" s="4">
        <f t="shared" si="7"/>
        <v>1</v>
      </c>
      <c r="T27" s="4">
        <f t="shared" si="8"/>
        <v>4</v>
      </c>
      <c r="U27" t="str">
        <f t="shared" si="9"/>
        <v>K</v>
      </c>
      <c r="V27">
        <f t="shared" si="10"/>
        <v>14</v>
      </c>
      <c r="W27" t="str">
        <f t="shared" si="11"/>
        <v>A</v>
      </c>
      <c r="X27">
        <f t="shared" si="12"/>
        <v>1</v>
      </c>
      <c r="Y27" s="4">
        <f t="shared" si="13"/>
        <v>5</v>
      </c>
      <c r="Z27" t="str">
        <f t="shared" si="14"/>
        <v>2540145</v>
      </c>
      <c r="AA27" t="str">
        <f t="shared" si="15"/>
        <v xml:space="preserve">Doç.Dr. AHMET KAYA  </v>
      </c>
      <c r="AB27" t="str">
        <f t="shared" si="16"/>
        <v>2540145</v>
      </c>
    </row>
    <row r="28" spans="1:28" x14ac:dyDescent="0.45">
      <c r="A28" t="s">
        <v>376</v>
      </c>
      <c r="F28" t="s">
        <v>248</v>
      </c>
      <c r="G28" t="s">
        <v>276</v>
      </c>
      <c r="H28" t="s">
        <v>277</v>
      </c>
      <c r="K28" s="4">
        <f t="shared" si="1"/>
        <v>4</v>
      </c>
      <c r="L28" s="4">
        <f t="shared" si="2"/>
        <v>6</v>
      </c>
      <c r="M28" s="4">
        <f t="shared" si="17"/>
        <v>6</v>
      </c>
      <c r="N28" s="4">
        <f t="shared" si="17"/>
        <v>0</v>
      </c>
      <c r="O28" t="str">
        <f t="shared" si="3"/>
        <v>M</v>
      </c>
      <c r="P28">
        <f t="shared" si="4"/>
        <v>16</v>
      </c>
      <c r="Q28" t="str">
        <f t="shared" si="5"/>
        <v>T</v>
      </c>
      <c r="R28">
        <f t="shared" si="6"/>
        <v>25</v>
      </c>
      <c r="S28" s="4">
        <f t="shared" si="7"/>
        <v>2</v>
      </c>
      <c r="T28" s="4">
        <f t="shared" si="8"/>
        <v>4</v>
      </c>
      <c r="U28" t="str">
        <f t="shared" si="9"/>
        <v>K</v>
      </c>
      <c r="V28">
        <f t="shared" si="10"/>
        <v>14</v>
      </c>
      <c r="W28" t="str">
        <f t="shared" si="11"/>
        <v>R</v>
      </c>
      <c r="X28">
        <f t="shared" si="12"/>
        <v>22</v>
      </c>
      <c r="Y28" s="4">
        <f t="shared" si="13"/>
        <v>2</v>
      </c>
      <c r="Z28" t="str">
        <f t="shared" si="14"/>
        <v>4660242</v>
      </c>
      <c r="AA28" t="str">
        <f t="shared" si="15"/>
        <v xml:space="preserve">Öğr.Gör.Dr. MEHMET KÖYYAR  </v>
      </c>
      <c r="AB28" t="str">
        <f t="shared" si="16"/>
        <v>4660242</v>
      </c>
    </row>
    <row r="29" spans="1:28" x14ac:dyDescent="0.45">
      <c r="A29" t="s">
        <v>377</v>
      </c>
      <c r="F29" t="s">
        <v>246</v>
      </c>
      <c r="G29" t="s">
        <v>268</v>
      </c>
      <c r="H29" t="s">
        <v>269</v>
      </c>
      <c r="K29" s="4">
        <f t="shared" si="1"/>
        <v>2</v>
      </c>
      <c r="L29" s="4">
        <f t="shared" si="2"/>
        <v>4</v>
      </c>
      <c r="M29" s="4">
        <f t="shared" si="17"/>
        <v>6</v>
      </c>
      <c r="N29" s="4">
        <f t="shared" si="17"/>
        <v>0</v>
      </c>
      <c r="O29" t="str">
        <f t="shared" si="3"/>
        <v>S</v>
      </c>
      <c r="P29">
        <f t="shared" si="4"/>
        <v>23</v>
      </c>
      <c r="Q29" t="str">
        <f t="shared" si="5"/>
        <v>A</v>
      </c>
      <c r="R29">
        <f t="shared" si="6"/>
        <v>1</v>
      </c>
      <c r="S29" s="4">
        <f t="shared" si="7"/>
        <v>2</v>
      </c>
      <c r="T29" s="4">
        <f t="shared" si="8"/>
        <v>1</v>
      </c>
      <c r="U29" t="str">
        <f t="shared" si="9"/>
        <v>S</v>
      </c>
      <c r="V29">
        <f t="shared" si="10"/>
        <v>23</v>
      </c>
      <c r="W29" t="str">
        <f t="shared" si="11"/>
        <v>Z</v>
      </c>
      <c r="X29">
        <f t="shared" si="12"/>
        <v>32</v>
      </c>
      <c r="Y29" s="4">
        <f t="shared" si="13"/>
        <v>7</v>
      </c>
      <c r="Z29" t="str">
        <f t="shared" si="14"/>
        <v>2460217</v>
      </c>
      <c r="AA29" t="str">
        <f t="shared" si="15"/>
        <v xml:space="preserve">Doç.Dr. SEDA SÖNMEZ  </v>
      </c>
      <c r="AB29" t="str">
        <f t="shared" si="16"/>
        <v>2460217</v>
      </c>
    </row>
    <row r="30" spans="1:28" x14ac:dyDescent="0.45">
      <c r="A30" t="s">
        <v>387</v>
      </c>
      <c r="F30" t="s">
        <v>249</v>
      </c>
      <c r="G30" t="s">
        <v>278</v>
      </c>
      <c r="H30" t="s">
        <v>279</v>
      </c>
      <c r="K30" s="4">
        <f t="shared" si="1"/>
        <v>5</v>
      </c>
      <c r="L30" s="4">
        <f t="shared" si="2"/>
        <v>5</v>
      </c>
      <c r="M30" s="4">
        <f t="shared" si="17"/>
        <v>7</v>
      </c>
      <c r="N30" s="4">
        <f t="shared" si="17"/>
        <v>0</v>
      </c>
      <c r="O30" t="str">
        <f t="shared" si="3"/>
        <v>Ş</v>
      </c>
      <c r="P30">
        <f t="shared" si="4"/>
        <v>24</v>
      </c>
      <c r="Q30" t="str">
        <f t="shared" si="5"/>
        <v>N</v>
      </c>
      <c r="R30">
        <f t="shared" si="6"/>
        <v>17</v>
      </c>
      <c r="S30" s="4">
        <f t="shared" si="7"/>
        <v>3</v>
      </c>
      <c r="T30" s="4">
        <f t="shared" si="8"/>
        <v>3</v>
      </c>
      <c r="U30" t="str">
        <f t="shared" si="9"/>
        <v>A</v>
      </c>
      <c r="V30">
        <f t="shared" si="10"/>
        <v>1</v>
      </c>
      <c r="W30" t="str">
        <f t="shared" si="11"/>
        <v>R</v>
      </c>
      <c r="X30">
        <f t="shared" si="12"/>
        <v>22</v>
      </c>
      <c r="Y30" s="4">
        <f t="shared" si="13"/>
        <v>4</v>
      </c>
      <c r="Z30" t="str">
        <f t="shared" si="14"/>
        <v>5570334</v>
      </c>
      <c r="AA30" t="str">
        <f t="shared" si="15"/>
        <v xml:space="preserve">Öğr.Gör. ŞAHİN AKBUNAR  </v>
      </c>
      <c r="AB30" t="str">
        <f t="shared" si="16"/>
        <v>5570334</v>
      </c>
    </row>
    <row r="31" spans="1:28" x14ac:dyDescent="0.45">
      <c r="A31" t="s">
        <v>378</v>
      </c>
      <c r="F31" t="s">
        <v>246</v>
      </c>
      <c r="G31" t="s">
        <v>280</v>
      </c>
      <c r="H31" t="s">
        <v>281</v>
      </c>
      <c r="I31" t="s">
        <v>282</v>
      </c>
      <c r="K31" s="4">
        <f t="shared" si="1"/>
        <v>2</v>
      </c>
      <c r="L31" s="4">
        <f t="shared" si="2"/>
        <v>7</v>
      </c>
      <c r="M31" s="4">
        <f t="shared" si="17"/>
        <v>6</v>
      </c>
      <c r="N31" s="4">
        <f t="shared" si="17"/>
        <v>7</v>
      </c>
      <c r="O31" t="str">
        <f t="shared" si="3"/>
        <v>İ</v>
      </c>
      <c r="P31">
        <f t="shared" si="4"/>
        <v>12</v>
      </c>
      <c r="Q31" t="str">
        <f t="shared" si="5"/>
        <v>M</v>
      </c>
      <c r="R31">
        <f t="shared" si="6"/>
        <v>16</v>
      </c>
      <c r="S31" s="4">
        <f t="shared" si="7"/>
        <v>5</v>
      </c>
      <c r="T31" s="4">
        <f t="shared" si="8"/>
        <v>2</v>
      </c>
      <c r="U31" t="str">
        <f t="shared" si="9"/>
        <v>T</v>
      </c>
      <c r="V31">
        <f t="shared" si="10"/>
        <v>25</v>
      </c>
      <c r="W31" t="str">
        <f t="shared" si="11"/>
        <v>N</v>
      </c>
      <c r="X31">
        <f t="shared" si="12"/>
        <v>17</v>
      </c>
      <c r="Y31" s="4">
        <f t="shared" si="13"/>
        <v>2</v>
      </c>
      <c r="Z31" t="str">
        <f t="shared" si="14"/>
        <v>2767522</v>
      </c>
      <c r="AA31" t="str">
        <f t="shared" si="15"/>
        <v xml:space="preserve">Doç.Dr. İBRAHİM TAYLAN DÖRTYOL </v>
      </c>
      <c r="AB31" t="str">
        <f t="shared" si="16"/>
        <v>2767522</v>
      </c>
    </row>
    <row r="32" spans="1:28" x14ac:dyDescent="0.45">
      <c r="A32" t="s">
        <v>244</v>
      </c>
      <c r="F32" t="s">
        <v>246</v>
      </c>
      <c r="G32" t="s">
        <v>280</v>
      </c>
      <c r="H32" t="s">
        <v>281</v>
      </c>
      <c r="I32" t="s">
        <v>282</v>
      </c>
      <c r="K32" s="4">
        <f t="shared" si="1"/>
        <v>2</v>
      </c>
      <c r="L32" s="4">
        <f t="shared" si="2"/>
        <v>7</v>
      </c>
      <c r="M32" s="4">
        <f t="shared" si="17"/>
        <v>6</v>
      </c>
      <c r="N32" s="4">
        <f t="shared" si="17"/>
        <v>7</v>
      </c>
      <c r="O32" t="str">
        <f t="shared" si="3"/>
        <v>İ</v>
      </c>
      <c r="P32">
        <f t="shared" si="4"/>
        <v>12</v>
      </c>
      <c r="Q32" t="str">
        <f t="shared" si="5"/>
        <v>M</v>
      </c>
      <c r="R32">
        <f t="shared" si="6"/>
        <v>16</v>
      </c>
      <c r="S32" s="4">
        <f t="shared" si="7"/>
        <v>5</v>
      </c>
      <c r="T32" s="4">
        <f t="shared" si="8"/>
        <v>2</v>
      </c>
      <c r="U32" t="str">
        <f t="shared" si="9"/>
        <v>T</v>
      </c>
      <c r="V32">
        <f t="shared" si="10"/>
        <v>25</v>
      </c>
      <c r="W32" t="str">
        <f t="shared" si="11"/>
        <v>N</v>
      </c>
      <c r="X32">
        <f t="shared" si="12"/>
        <v>17</v>
      </c>
      <c r="Y32" s="4">
        <f t="shared" si="13"/>
        <v>2</v>
      </c>
      <c r="Z32" t="str">
        <f t="shared" si="14"/>
        <v>2767522</v>
      </c>
      <c r="AA32" t="str">
        <f t="shared" si="15"/>
        <v xml:space="preserve">Doç.Dr. İBRAHİM TAYLAN DÖRTYOL </v>
      </c>
      <c r="AB32" t="str">
        <f t="shared" si="16"/>
        <v>2767522</v>
      </c>
    </row>
    <row r="33" spans="1:28" x14ac:dyDescent="0.45">
      <c r="A33" t="s">
        <v>379</v>
      </c>
      <c r="F33" t="s">
        <v>246</v>
      </c>
      <c r="G33" t="s">
        <v>280</v>
      </c>
      <c r="H33" t="s">
        <v>281</v>
      </c>
      <c r="I33" t="s">
        <v>282</v>
      </c>
      <c r="K33" s="4">
        <f t="shared" si="1"/>
        <v>2</v>
      </c>
      <c r="L33" s="4">
        <f t="shared" si="2"/>
        <v>7</v>
      </c>
      <c r="M33" s="4">
        <f t="shared" si="17"/>
        <v>6</v>
      </c>
      <c r="N33" s="4">
        <f t="shared" si="17"/>
        <v>7</v>
      </c>
      <c r="O33" t="str">
        <f t="shared" si="3"/>
        <v>İ</v>
      </c>
      <c r="P33">
        <f t="shared" si="4"/>
        <v>12</v>
      </c>
      <c r="Q33" t="str">
        <f t="shared" si="5"/>
        <v>M</v>
      </c>
      <c r="R33">
        <f t="shared" si="6"/>
        <v>16</v>
      </c>
      <c r="S33" s="4">
        <f t="shared" si="7"/>
        <v>5</v>
      </c>
      <c r="T33" s="4">
        <f t="shared" si="8"/>
        <v>2</v>
      </c>
      <c r="U33" t="str">
        <f t="shared" si="9"/>
        <v>T</v>
      </c>
      <c r="V33">
        <f t="shared" si="10"/>
        <v>25</v>
      </c>
      <c r="W33" t="str">
        <f t="shared" si="11"/>
        <v>N</v>
      </c>
      <c r="X33">
        <f t="shared" si="12"/>
        <v>17</v>
      </c>
      <c r="Y33" s="4">
        <f t="shared" si="13"/>
        <v>2</v>
      </c>
      <c r="Z33" t="str">
        <f t="shared" si="14"/>
        <v>2767522</v>
      </c>
      <c r="AA33" t="str">
        <f t="shared" si="15"/>
        <v xml:space="preserve">Doç.Dr. İBRAHİM TAYLAN DÖRTYOL </v>
      </c>
      <c r="AB33" t="str">
        <f t="shared" si="16"/>
        <v>2767522</v>
      </c>
    </row>
    <row r="34" spans="1:28" x14ac:dyDescent="0.45">
      <c r="A34" t="s">
        <v>380</v>
      </c>
      <c r="F34" t="s">
        <v>246</v>
      </c>
      <c r="G34" t="s">
        <v>280</v>
      </c>
      <c r="H34" t="s">
        <v>281</v>
      </c>
      <c r="I34" t="s">
        <v>282</v>
      </c>
      <c r="K34" s="4">
        <f t="shared" si="1"/>
        <v>2</v>
      </c>
      <c r="L34" s="4">
        <f t="shared" si="2"/>
        <v>7</v>
      </c>
      <c r="M34" s="4">
        <f t="shared" si="17"/>
        <v>6</v>
      </c>
      <c r="N34" s="4">
        <f t="shared" si="17"/>
        <v>7</v>
      </c>
      <c r="O34" t="str">
        <f t="shared" si="3"/>
        <v>İ</v>
      </c>
      <c r="P34">
        <f t="shared" si="4"/>
        <v>12</v>
      </c>
      <c r="Q34" t="str">
        <f t="shared" si="5"/>
        <v>M</v>
      </c>
      <c r="R34">
        <f t="shared" si="6"/>
        <v>16</v>
      </c>
      <c r="S34" s="4">
        <f t="shared" si="7"/>
        <v>5</v>
      </c>
      <c r="T34" s="4">
        <f t="shared" si="8"/>
        <v>2</v>
      </c>
      <c r="U34" t="str">
        <f t="shared" si="9"/>
        <v>T</v>
      </c>
      <c r="V34">
        <f t="shared" si="10"/>
        <v>25</v>
      </c>
      <c r="W34" t="str">
        <f t="shared" si="11"/>
        <v>N</v>
      </c>
      <c r="X34">
        <f t="shared" si="12"/>
        <v>17</v>
      </c>
      <c r="Y34" s="4">
        <f t="shared" si="13"/>
        <v>2</v>
      </c>
      <c r="Z34" t="str">
        <f t="shared" si="14"/>
        <v>2767522</v>
      </c>
      <c r="AA34" t="str">
        <f t="shared" si="15"/>
        <v xml:space="preserve">Doç.Dr. İBRAHİM TAYLAN DÖRTYOL </v>
      </c>
      <c r="AB34" t="str">
        <f t="shared" si="16"/>
        <v>2767522</v>
      </c>
    </row>
    <row r="35" spans="1:28" x14ac:dyDescent="0.45">
      <c r="A35" t="s">
        <v>381</v>
      </c>
      <c r="F35" t="s">
        <v>246</v>
      </c>
      <c r="G35" t="s">
        <v>280</v>
      </c>
      <c r="H35" t="s">
        <v>281</v>
      </c>
      <c r="I35" t="s">
        <v>282</v>
      </c>
      <c r="K35" s="4">
        <f t="shared" si="1"/>
        <v>2</v>
      </c>
      <c r="L35" s="4">
        <f t="shared" si="2"/>
        <v>7</v>
      </c>
      <c r="M35" s="4">
        <f t="shared" si="17"/>
        <v>6</v>
      </c>
      <c r="N35" s="4">
        <f t="shared" si="17"/>
        <v>7</v>
      </c>
      <c r="O35" t="str">
        <f t="shared" si="3"/>
        <v>İ</v>
      </c>
      <c r="P35">
        <f t="shared" si="4"/>
        <v>12</v>
      </c>
      <c r="Q35" t="str">
        <f t="shared" si="5"/>
        <v>M</v>
      </c>
      <c r="R35">
        <f t="shared" si="6"/>
        <v>16</v>
      </c>
      <c r="S35" s="4">
        <f t="shared" si="7"/>
        <v>5</v>
      </c>
      <c r="T35" s="4">
        <f t="shared" si="8"/>
        <v>2</v>
      </c>
      <c r="U35" t="str">
        <f t="shared" si="9"/>
        <v>T</v>
      </c>
      <c r="V35">
        <f t="shared" si="10"/>
        <v>25</v>
      </c>
      <c r="W35" t="str">
        <f t="shared" si="11"/>
        <v>N</v>
      </c>
      <c r="X35">
        <f t="shared" si="12"/>
        <v>17</v>
      </c>
      <c r="Y35" s="4">
        <f t="shared" si="13"/>
        <v>2</v>
      </c>
      <c r="Z35" t="str">
        <f t="shared" si="14"/>
        <v>2767522</v>
      </c>
      <c r="AA35" t="str">
        <f t="shared" si="15"/>
        <v xml:space="preserve">Doç.Dr. İBRAHİM TAYLAN DÖRTYOL </v>
      </c>
      <c r="AB35" t="str">
        <f t="shared" si="16"/>
        <v>2767522</v>
      </c>
    </row>
    <row r="36" spans="1:28" x14ac:dyDescent="0.45">
      <c r="A36" t="s">
        <v>382</v>
      </c>
      <c r="F36" t="s">
        <v>246</v>
      </c>
      <c r="G36" t="s">
        <v>280</v>
      </c>
      <c r="H36" t="s">
        <v>281</v>
      </c>
      <c r="I36" t="s">
        <v>282</v>
      </c>
      <c r="K36" s="4">
        <f t="shared" si="1"/>
        <v>2</v>
      </c>
      <c r="L36" s="4">
        <f t="shared" si="2"/>
        <v>7</v>
      </c>
      <c r="M36" s="4">
        <f t="shared" si="17"/>
        <v>6</v>
      </c>
      <c r="N36" s="4">
        <f t="shared" si="17"/>
        <v>7</v>
      </c>
      <c r="O36" t="str">
        <f t="shared" si="3"/>
        <v>İ</v>
      </c>
      <c r="P36">
        <f t="shared" si="4"/>
        <v>12</v>
      </c>
      <c r="Q36" t="str">
        <f t="shared" si="5"/>
        <v>M</v>
      </c>
      <c r="R36">
        <f t="shared" si="6"/>
        <v>16</v>
      </c>
      <c r="S36" s="4">
        <f t="shared" si="7"/>
        <v>5</v>
      </c>
      <c r="T36" s="4">
        <f t="shared" si="8"/>
        <v>2</v>
      </c>
      <c r="U36" t="str">
        <f t="shared" si="9"/>
        <v>T</v>
      </c>
      <c r="V36">
        <f t="shared" si="10"/>
        <v>25</v>
      </c>
      <c r="W36" t="str">
        <f t="shared" si="11"/>
        <v>N</v>
      </c>
      <c r="X36">
        <f t="shared" si="12"/>
        <v>17</v>
      </c>
      <c r="Y36" s="4">
        <f t="shared" si="13"/>
        <v>2</v>
      </c>
      <c r="Z36" t="str">
        <f t="shared" si="14"/>
        <v>2767522</v>
      </c>
      <c r="AA36" t="str">
        <f t="shared" si="15"/>
        <v xml:space="preserve">Doç.Dr. İBRAHİM TAYLAN DÖRTYOL </v>
      </c>
      <c r="AB36" t="str">
        <f t="shared" si="16"/>
        <v>2767522</v>
      </c>
    </row>
    <row r="37" spans="1:28" x14ac:dyDescent="0.45">
      <c r="A37" t="s">
        <v>383</v>
      </c>
      <c r="F37" t="s">
        <v>246</v>
      </c>
      <c r="G37" t="s">
        <v>280</v>
      </c>
      <c r="H37" t="s">
        <v>281</v>
      </c>
      <c r="I37" t="s">
        <v>282</v>
      </c>
      <c r="K37" s="4">
        <f t="shared" si="1"/>
        <v>2</v>
      </c>
      <c r="L37" s="4">
        <f t="shared" si="2"/>
        <v>7</v>
      </c>
      <c r="M37" s="4">
        <f t="shared" si="17"/>
        <v>6</v>
      </c>
      <c r="N37" s="4">
        <f t="shared" si="17"/>
        <v>7</v>
      </c>
      <c r="O37" t="str">
        <f t="shared" si="3"/>
        <v>İ</v>
      </c>
      <c r="P37">
        <f t="shared" si="4"/>
        <v>12</v>
      </c>
      <c r="Q37" t="str">
        <f t="shared" si="5"/>
        <v>M</v>
      </c>
      <c r="R37">
        <f t="shared" si="6"/>
        <v>16</v>
      </c>
      <c r="S37" s="4">
        <f t="shared" si="7"/>
        <v>5</v>
      </c>
      <c r="T37" s="4">
        <f t="shared" si="8"/>
        <v>2</v>
      </c>
      <c r="U37" t="str">
        <f t="shared" si="9"/>
        <v>T</v>
      </c>
      <c r="V37">
        <f t="shared" si="10"/>
        <v>25</v>
      </c>
      <c r="W37" t="str">
        <f t="shared" si="11"/>
        <v>N</v>
      </c>
      <c r="X37">
        <f t="shared" si="12"/>
        <v>17</v>
      </c>
      <c r="Y37" s="4">
        <f t="shared" si="13"/>
        <v>2</v>
      </c>
      <c r="Z37" t="str">
        <f t="shared" si="14"/>
        <v>2767522</v>
      </c>
      <c r="AA37" t="str">
        <f t="shared" si="15"/>
        <v xml:space="preserve">Doç.Dr. İBRAHİM TAYLAN DÖRTYOL </v>
      </c>
      <c r="AB37" t="str">
        <f t="shared" si="16"/>
        <v>2767522</v>
      </c>
    </row>
    <row r="38" spans="1:28" x14ac:dyDescent="0.45">
      <c r="A38" t="s">
        <v>385</v>
      </c>
      <c r="F38" t="s">
        <v>246</v>
      </c>
      <c r="G38" t="s">
        <v>280</v>
      </c>
      <c r="H38" t="s">
        <v>281</v>
      </c>
      <c r="I38" t="s">
        <v>282</v>
      </c>
      <c r="K38" s="4">
        <f t="shared" si="1"/>
        <v>2</v>
      </c>
      <c r="L38" s="4">
        <f t="shared" si="2"/>
        <v>7</v>
      </c>
      <c r="M38" s="4">
        <f t="shared" si="17"/>
        <v>6</v>
      </c>
      <c r="N38" s="4">
        <f t="shared" si="17"/>
        <v>7</v>
      </c>
      <c r="O38" t="str">
        <f t="shared" si="3"/>
        <v>İ</v>
      </c>
      <c r="P38">
        <f t="shared" si="4"/>
        <v>12</v>
      </c>
      <c r="Q38" t="str">
        <f t="shared" si="5"/>
        <v>M</v>
      </c>
      <c r="R38">
        <f t="shared" si="6"/>
        <v>16</v>
      </c>
      <c r="S38" s="4">
        <f t="shared" si="7"/>
        <v>5</v>
      </c>
      <c r="T38" s="4">
        <f t="shared" si="8"/>
        <v>2</v>
      </c>
      <c r="U38" t="str">
        <f t="shared" si="9"/>
        <v>T</v>
      </c>
      <c r="V38">
        <f t="shared" si="10"/>
        <v>25</v>
      </c>
      <c r="W38" t="str">
        <f t="shared" si="11"/>
        <v>N</v>
      </c>
      <c r="X38">
        <f t="shared" si="12"/>
        <v>17</v>
      </c>
      <c r="Y38" s="4">
        <f t="shared" si="13"/>
        <v>2</v>
      </c>
      <c r="Z38" t="str">
        <f t="shared" si="14"/>
        <v>2767522</v>
      </c>
      <c r="AA38" t="str">
        <f t="shared" si="15"/>
        <v xml:space="preserve">Doç.Dr. İBRAHİM TAYLAN DÖRTYOL </v>
      </c>
      <c r="AB38" t="str">
        <f t="shared" si="16"/>
        <v>2767522</v>
      </c>
    </row>
    <row r="39" spans="1:28" x14ac:dyDescent="0.45">
      <c r="A39" t="s">
        <v>386</v>
      </c>
      <c r="F39" t="s">
        <v>246</v>
      </c>
      <c r="G39" t="s">
        <v>280</v>
      </c>
      <c r="H39" t="s">
        <v>281</v>
      </c>
      <c r="I39" t="s">
        <v>282</v>
      </c>
      <c r="K39" s="4">
        <f t="shared" si="1"/>
        <v>2</v>
      </c>
      <c r="L39" s="4">
        <f t="shared" si="2"/>
        <v>7</v>
      </c>
      <c r="M39" s="4">
        <f t="shared" si="17"/>
        <v>6</v>
      </c>
      <c r="N39" s="4">
        <f t="shared" si="17"/>
        <v>7</v>
      </c>
      <c r="O39" t="str">
        <f t="shared" si="3"/>
        <v>İ</v>
      </c>
      <c r="P39">
        <f t="shared" si="4"/>
        <v>12</v>
      </c>
      <c r="Q39" t="str">
        <f t="shared" si="5"/>
        <v>M</v>
      </c>
      <c r="R39">
        <f t="shared" si="6"/>
        <v>16</v>
      </c>
      <c r="S39" s="4">
        <f t="shared" si="7"/>
        <v>5</v>
      </c>
      <c r="T39" s="4">
        <f t="shared" si="8"/>
        <v>2</v>
      </c>
      <c r="U39" t="str">
        <f t="shared" si="9"/>
        <v>T</v>
      </c>
      <c r="V39">
        <f t="shared" si="10"/>
        <v>25</v>
      </c>
      <c r="W39" t="str">
        <f t="shared" si="11"/>
        <v>N</v>
      </c>
      <c r="X39">
        <f t="shared" si="12"/>
        <v>17</v>
      </c>
      <c r="Y39" s="4">
        <f t="shared" si="13"/>
        <v>2</v>
      </c>
      <c r="Z39" t="str">
        <f t="shared" si="14"/>
        <v>2767522</v>
      </c>
      <c r="AA39" t="str">
        <f t="shared" si="15"/>
        <v xml:space="preserve">Doç.Dr. İBRAHİM TAYLAN DÖRTYOL </v>
      </c>
      <c r="AB39" t="str">
        <f t="shared" si="16"/>
        <v>2767522</v>
      </c>
    </row>
    <row r="40" spans="1:28" x14ac:dyDescent="0.45">
      <c r="A40" t="s">
        <v>384</v>
      </c>
      <c r="F40" t="s">
        <v>246</v>
      </c>
      <c r="G40" t="s">
        <v>280</v>
      </c>
      <c r="H40" t="s">
        <v>281</v>
      </c>
      <c r="I40" t="s">
        <v>282</v>
      </c>
      <c r="K40" s="4">
        <f t="shared" si="1"/>
        <v>2</v>
      </c>
      <c r="L40" s="4">
        <f t="shared" si="2"/>
        <v>7</v>
      </c>
      <c r="M40" s="4">
        <f t="shared" si="17"/>
        <v>6</v>
      </c>
      <c r="N40" s="4">
        <f t="shared" si="17"/>
        <v>7</v>
      </c>
      <c r="O40" t="str">
        <f t="shared" si="3"/>
        <v>İ</v>
      </c>
      <c r="P40">
        <f t="shared" si="4"/>
        <v>12</v>
      </c>
      <c r="Q40" t="str">
        <f t="shared" si="5"/>
        <v>M</v>
      </c>
      <c r="R40">
        <f t="shared" si="6"/>
        <v>16</v>
      </c>
      <c r="S40" s="4">
        <f t="shared" si="7"/>
        <v>5</v>
      </c>
      <c r="T40" s="4">
        <f t="shared" si="8"/>
        <v>2</v>
      </c>
      <c r="U40" t="str">
        <f t="shared" si="9"/>
        <v>T</v>
      </c>
      <c r="V40">
        <f t="shared" si="10"/>
        <v>25</v>
      </c>
      <c r="W40" t="str">
        <f t="shared" si="11"/>
        <v>N</v>
      </c>
      <c r="X40">
        <f t="shared" si="12"/>
        <v>17</v>
      </c>
      <c r="Y40" s="4">
        <f t="shared" si="13"/>
        <v>2</v>
      </c>
      <c r="Z40" t="str">
        <f t="shared" si="14"/>
        <v>2767522</v>
      </c>
      <c r="AA40" t="str">
        <f t="shared" si="15"/>
        <v xml:space="preserve">Doç.Dr. İBRAHİM TAYLAN DÖRTYOL </v>
      </c>
      <c r="AB40" t="str">
        <f t="shared" si="16"/>
        <v>2767522</v>
      </c>
    </row>
    <row r="41" spans="1:28" x14ac:dyDescent="0.45">
      <c r="A41" t="s">
        <v>9</v>
      </c>
      <c r="F41" t="s">
        <v>246</v>
      </c>
      <c r="G41" t="s">
        <v>283</v>
      </c>
      <c r="H41" t="s">
        <v>284</v>
      </c>
      <c r="K41" s="4">
        <f t="shared" si="1"/>
        <v>2</v>
      </c>
      <c r="L41" s="4">
        <f t="shared" si="2"/>
        <v>4</v>
      </c>
      <c r="M41" s="4">
        <f t="shared" si="17"/>
        <v>8</v>
      </c>
      <c r="N41" s="4">
        <f t="shared" si="17"/>
        <v>0</v>
      </c>
      <c r="O41" t="str">
        <f t="shared" si="3"/>
        <v>N</v>
      </c>
      <c r="P41">
        <f t="shared" si="4"/>
        <v>17</v>
      </c>
      <c r="Q41" t="str">
        <f t="shared" si="5"/>
        <v>İ</v>
      </c>
      <c r="R41">
        <f t="shared" si="6"/>
        <v>12</v>
      </c>
      <c r="S41" s="4">
        <f t="shared" si="7"/>
        <v>3</v>
      </c>
      <c r="T41" s="4">
        <f t="shared" si="8"/>
        <v>5</v>
      </c>
      <c r="U41" t="str">
        <f t="shared" si="9"/>
        <v>B</v>
      </c>
      <c r="V41">
        <f t="shared" si="10"/>
        <v>2</v>
      </c>
      <c r="W41" t="str">
        <f t="shared" si="11"/>
        <v>Ğ</v>
      </c>
      <c r="X41">
        <f t="shared" si="12"/>
        <v>9</v>
      </c>
      <c r="Y41" s="4">
        <f t="shared" si="13"/>
        <v>0</v>
      </c>
      <c r="Z41" t="str">
        <f t="shared" si="14"/>
        <v>2480350</v>
      </c>
      <c r="AA41" t="str">
        <f t="shared" si="15"/>
        <v xml:space="preserve">Doç.Dr. NACİ BÜYÜKDAĞ  </v>
      </c>
      <c r="AB41" t="str">
        <f t="shared" si="16"/>
        <v>2480350</v>
      </c>
    </row>
    <row r="42" spans="1:28" x14ac:dyDescent="0.45">
      <c r="F42" t="s">
        <v>246</v>
      </c>
      <c r="G42" t="s">
        <v>285</v>
      </c>
      <c r="H42" t="s">
        <v>286</v>
      </c>
      <c r="I42" t="s">
        <v>287</v>
      </c>
      <c r="J42" t="s">
        <v>288</v>
      </c>
      <c r="K42" s="4">
        <f t="shared" si="1"/>
        <v>2</v>
      </c>
      <c r="L42" s="4">
        <f t="shared" si="2"/>
        <v>5</v>
      </c>
      <c r="M42" s="4">
        <f t="shared" si="17"/>
        <v>6</v>
      </c>
      <c r="N42" s="4">
        <f t="shared" si="17"/>
        <v>6</v>
      </c>
      <c r="O42" t="str">
        <f t="shared" si="3"/>
        <v>R</v>
      </c>
      <c r="P42">
        <f t="shared" si="4"/>
        <v>22</v>
      </c>
      <c r="Q42" t="str">
        <f t="shared" si="5"/>
        <v>E</v>
      </c>
      <c r="R42">
        <f t="shared" si="6"/>
        <v>6</v>
      </c>
      <c r="S42" s="4">
        <f t="shared" si="7"/>
        <v>1</v>
      </c>
      <c r="T42" s="4">
        <f t="shared" si="8"/>
        <v>6</v>
      </c>
      <c r="U42" t="str">
        <f t="shared" si="9"/>
        <v>M</v>
      </c>
      <c r="V42">
        <f t="shared" si="10"/>
        <v>16</v>
      </c>
      <c r="W42" t="str">
        <f t="shared" si="11"/>
        <v>M</v>
      </c>
      <c r="X42">
        <f t="shared" si="12"/>
        <v>16</v>
      </c>
      <c r="Y42" s="4">
        <f t="shared" si="13"/>
        <v>4</v>
      </c>
      <c r="Z42" t="str">
        <f t="shared" si="14"/>
        <v>2566164</v>
      </c>
      <c r="AA42" t="str">
        <f t="shared" si="15"/>
        <v>Doç.Dr. RAİFE MELTEM YETKİN ÖZBÜK</v>
      </c>
      <c r="AB42" t="str">
        <f t="shared" si="16"/>
        <v>2566164</v>
      </c>
    </row>
    <row r="43" spans="1:28" x14ac:dyDescent="0.45">
      <c r="F43" t="s">
        <v>247</v>
      </c>
      <c r="G43" t="s">
        <v>289</v>
      </c>
      <c r="H43" t="s">
        <v>290</v>
      </c>
      <c r="I43" t="s">
        <v>291</v>
      </c>
      <c r="K43" s="4">
        <f t="shared" si="1"/>
        <v>3</v>
      </c>
      <c r="L43" s="4">
        <f t="shared" si="2"/>
        <v>8</v>
      </c>
      <c r="M43" s="4">
        <f t="shared" si="17"/>
        <v>4</v>
      </c>
      <c r="N43" s="4">
        <f t="shared" si="17"/>
        <v>4</v>
      </c>
      <c r="O43" t="str">
        <f t="shared" si="3"/>
        <v>N</v>
      </c>
      <c r="P43">
        <f t="shared" si="4"/>
        <v>17</v>
      </c>
      <c r="Q43" t="str">
        <f t="shared" si="5"/>
        <v>N</v>
      </c>
      <c r="R43">
        <f t="shared" si="6"/>
        <v>17</v>
      </c>
      <c r="S43" s="4">
        <f t="shared" si="7"/>
        <v>3</v>
      </c>
      <c r="T43" s="4">
        <f t="shared" si="8"/>
        <v>3</v>
      </c>
      <c r="U43" t="str">
        <f t="shared" si="9"/>
        <v>M</v>
      </c>
      <c r="V43">
        <f t="shared" si="10"/>
        <v>16</v>
      </c>
      <c r="W43" t="str">
        <f t="shared" si="11"/>
        <v>T</v>
      </c>
      <c r="X43">
        <f t="shared" si="12"/>
        <v>25</v>
      </c>
      <c r="Y43" s="4">
        <f t="shared" si="13"/>
        <v>4</v>
      </c>
      <c r="Z43" t="str">
        <f t="shared" si="14"/>
        <v>3844334</v>
      </c>
      <c r="AA43" t="str">
        <f t="shared" si="15"/>
        <v xml:space="preserve">Dr.Öğr.Üyesi NURETTİN MERT BATU </v>
      </c>
      <c r="AB43" t="str">
        <f t="shared" si="16"/>
        <v>3844334</v>
      </c>
    </row>
    <row r="44" spans="1:28" x14ac:dyDescent="0.45">
      <c r="F44" t="s">
        <v>248</v>
      </c>
      <c r="G44" t="s">
        <v>292</v>
      </c>
      <c r="H44" t="s">
        <v>293</v>
      </c>
      <c r="I44" t="s">
        <v>294</v>
      </c>
      <c r="K44" s="4">
        <f t="shared" si="1"/>
        <v>4</v>
      </c>
      <c r="L44" s="4">
        <f t="shared" si="2"/>
        <v>4</v>
      </c>
      <c r="M44" s="4">
        <f t="shared" si="17"/>
        <v>6</v>
      </c>
      <c r="N44" s="4">
        <f t="shared" si="17"/>
        <v>5</v>
      </c>
      <c r="O44" t="str">
        <f t="shared" si="3"/>
        <v>A</v>
      </c>
      <c r="P44">
        <f t="shared" si="4"/>
        <v>1</v>
      </c>
      <c r="Q44" t="str">
        <f t="shared" si="5"/>
        <v>A</v>
      </c>
      <c r="R44">
        <f t="shared" si="6"/>
        <v>1</v>
      </c>
      <c r="S44" s="4">
        <f t="shared" si="7"/>
        <v>1</v>
      </c>
      <c r="T44" s="4">
        <f t="shared" si="8"/>
        <v>1</v>
      </c>
      <c r="U44" t="str">
        <f t="shared" si="9"/>
        <v>K</v>
      </c>
      <c r="V44">
        <f t="shared" si="10"/>
        <v>14</v>
      </c>
      <c r="W44" t="str">
        <f t="shared" si="11"/>
        <v>L</v>
      </c>
      <c r="X44">
        <f t="shared" si="12"/>
        <v>15</v>
      </c>
      <c r="Y44" s="4">
        <f t="shared" si="13"/>
        <v>3</v>
      </c>
      <c r="Z44" t="str">
        <f t="shared" si="14"/>
        <v>4465113</v>
      </c>
      <c r="AA44" t="str">
        <f t="shared" si="15"/>
        <v xml:space="preserve">Öğr.Gör.Dr. AYÇA KANGAL DEMİR </v>
      </c>
      <c r="AB44" t="str">
        <f t="shared" si="16"/>
        <v>4465113</v>
      </c>
    </row>
    <row r="45" spans="1:28" x14ac:dyDescent="0.45">
      <c r="F45" t="s">
        <v>246</v>
      </c>
      <c r="G45" t="s">
        <v>285</v>
      </c>
      <c r="H45" t="s">
        <v>286</v>
      </c>
      <c r="I45" t="s">
        <v>287</v>
      </c>
      <c r="J45" t="s">
        <v>288</v>
      </c>
      <c r="K45" s="4">
        <f t="shared" si="1"/>
        <v>2</v>
      </c>
      <c r="L45" s="4">
        <f t="shared" si="2"/>
        <v>5</v>
      </c>
      <c r="M45" s="4">
        <f t="shared" si="17"/>
        <v>6</v>
      </c>
      <c r="N45" s="4">
        <f t="shared" si="17"/>
        <v>6</v>
      </c>
      <c r="O45" t="str">
        <f t="shared" si="3"/>
        <v>R</v>
      </c>
      <c r="P45">
        <f t="shared" si="4"/>
        <v>22</v>
      </c>
      <c r="Q45" t="str">
        <f t="shared" si="5"/>
        <v>E</v>
      </c>
      <c r="R45">
        <f t="shared" si="6"/>
        <v>6</v>
      </c>
      <c r="S45" s="4">
        <f t="shared" si="7"/>
        <v>1</v>
      </c>
      <c r="T45" s="4">
        <f t="shared" si="8"/>
        <v>6</v>
      </c>
      <c r="U45" t="str">
        <f t="shared" si="9"/>
        <v>M</v>
      </c>
      <c r="V45">
        <f t="shared" si="10"/>
        <v>16</v>
      </c>
      <c r="W45" t="str">
        <f t="shared" si="11"/>
        <v>M</v>
      </c>
      <c r="X45">
        <f t="shared" si="12"/>
        <v>16</v>
      </c>
      <c r="Y45" s="4">
        <f t="shared" si="13"/>
        <v>4</v>
      </c>
      <c r="Z45" t="str">
        <f t="shared" si="14"/>
        <v>2566164</v>
      </c>
      <c r="AA45" t="str">
        <f t="shared" si="15"/>
        <v>Doç.Dr. RAİFE MELTEM YETKİN ÖZBÜK</v>
      </c>
      <c r="AB45" t="str">
        <f t="shared" si="16"/>
        <v>2566164</v>
      </c>
    </row>
    <row r="46" spans="1:28" x14ac:dyDescent="0.45">
      <c r="F46" t="s">
        <v>246</v>
      </c>
      <c r="G46" t="s">
        <v>266</v>
      </c>
      <c r="H46" t="s">
        <v>267</v>
      </c>
      <c r="K46" s="4">
        <f t="shared" si="1"/>
        <v>2</v>
      </c>
      <c r="L46" s="4">
        <f t="shared" si="2"/>
        <v>6</v>
      </c>
      <c r="M46" s="4">
        <f t="shared" si="17"/>
        <v>8</v>
      </c>
      <c r="N46" s="4">
        <f t="shared" si="17"/>
        <v>0</v>
      </c>
      <c r="O46" t="str">
        <f t="shared" si="3"/>
        <v>F</v>
      </c>
      <c r="P46">
        <f t="shared" si="4"/>
        <v>7</v>
      </c>
      <c r="Q46" t="str">
        <f t="shared" si="5"/>
        <v>N</v>
      </c>
      <c r="R46">
        <f t="shared" si="6"/>
        <v>17</v>
      </c>
      <c r="S46" s="4">
        <f t="shared" si="7"/>
        <v>0</v>
      </c>
      <c r="T46" s="4">
        <f t="shared" si="8"/>
        <v>3</v>
      </c>
      <c r="U46" t="str">
        <f t="shared" si="9"/>
        <v>Y</v>
      </c>
      <c r="V46">
        <f t="shared" si="10"/>
        <v>31</v>
      </c>
      <c r="W46" t="str">
        <f t="shared" si="11"/>
        <v>M</v>
      </c>
      <c r="X46">
        <f t="shared" si="12"/>
        <v>16</v>
      </c>
      <c r="Y46" s="4">
        <f t="shared" si="13"/>
        <v>1</v>
      </c>
      <c r="Z46" t="str">
        <f t="shared" si="14"/>
        <v>2680031</v>
      </c>
      <c r="AA46" t="str">
        <f t="shared" si="15"/>
        <v xml:space="preserve">Doç.Dr. FURKAN YILDIRIM  </v>
      </c>
      <c r="AB46" t="str">
        <f t="shared" si="16"/>
        <v>2680031</v>
      </c>
    </row>
    <row r="47" spans="1:28" x14ac:dyDescent="0.45">
      <c r="F47" t="s">
        <v>246</v>
      </c>
      <c r="G47" t="s">
        <v>295</v>
      </c>
      <c r="H47" t="s">
        <v>296</v>
      </c>
      <c r="K47" s="4">
        <f t="shared" si="1"/>
        <v>2</v>
      </c>
      <c r="L47" s="4">
        <f t="shared" si="2"/>
        <v>5</v>
      </c>
      <c r="M47" s="4">
        <f t="shared" si="17"/>
        <v>1</v>
      </c>
      <c r="N47" s="4">
        <f t="shared" si="17"/>
        <v>0</v>
      </c>
      <c r="O47" t="str">
        <f t="shared" si="3"/>
        <v>H</v>
      </c>
      <c r="P47">
        <f t="shared" si="4"/>
        <v>10</v>
      </c>
      <c r="Q47" t="str">
        <f t="shared" si="5"/>
        <v>L</v>
      </c>
      <c r="R47">
        <f t="shared" si="6"/>
        <v>15</v>
      </c>
      <c r="S47" s="4">
        <f t="shared" si="7"/>
        <v>3</v>
      </c>
      <c r="T47" s="4">
        <f t="shared" si="8"/>
        <v>1</v>
      </c>
      <c r="U47" t="str">
        <f t="shared" si="9"/>
        <v>Ö</v>
      </c>
      <c r="V47">
        <f t="shared" si="10"/>
        <v>19</v>
      </c>
      <c r="W47" t="str">
        <f t="shared" si="11"/>
        <v>U</v>
      </c>
      <c r="X47">
        <f t="shared" si="12"/>
        <v>26</v>
      </c>
      <c r="Y47" s="4">
        <f t="shared" si="13"/>
        <v>8</v>
      </c>
      <c r="Z47" t="str">
        <f t="shared" si="14"/>
        <v>2510318</v>
      </c>
      <c r="AA47" t="str">
        <f t="shared" si="15"/>
        <v xml:space="preserve">Doç.Dr. HALİL ÖZEKİCİOĞLU  </v>
      </c>
      <c r="AB47" t="str">
        <f t="shared" si="16"/>
        <v>2510318</v>
      </c>
    </row>
    <row r="48" spans="1:28" x14ac:dyDescent="0.45">
      <c r="F48" t="s">
        <v>246</v>
      </c>
      <c r="G48" t="s">
        <v>295</v>
      </c>
      <c r="H48" t="s">
        <v>296</v>
      </c>
      <c r="K48" s="4">
        <f t="shared" si="1"/>
        <v>2</v>
      </c>
      <c r="L48" s="4">
        <f t="shared" si="2"/>
        <v>5</v>
      </c>
      <c r="M48" s="4">
        <f t="shared" si="17"/>
        <v>1</v>
      </c>
      <c r="N48" s="4">
        <f t="shared" si="17"/>
        <v>0</v>
      </c>
      <c r="O48" t="str">
        <f t="shared" si="3"/>
        <v>H</v>
      </c>
      <c r="P48">
        <f t="shared" si="4"/>
        <v>10</v>
      </c>
      <c r="Q48" t="str">
        <f t="shared" si="5"/>
        <v>L</v>
      </c>
      <c r="R48">
        <f t="shared" si="6"/>
        <v>15</v>
      </c>
      <c r="S48" s="4">
        <f t="shared" si="7"/>
        <v>3</v>
      </c>
      <c r="T48" s="4">
        <f t="shared" si="8"/>
        <v>1</v>
      </c>
      <c r="U48" t="str">
        <f t="shared" si="9"/>
        <v>Ö</v>
      </c>
      <c r="V48">
        <f t="shared" si="10"/>
        <v>19</v>
      </c>
      <c r="W48" t="str">
        <f t="shared" si="11"/>
        <v>U</v>
      </c>
      <c r="X48">
        <f t="shared" si="12"/>
        <v>26</v>
      </c>
      <c r="Y48" s="4">
        <f t="shared" si="13"/>
        <v>8</v>
      </c>
      <c r="Z48" t="str">
        <f t="shared" si="14"/>
        <v>2510318</v>
      </c>
      <c r="AA48" t="str">
        <f t="shared" si="15"/>
        <v xml:space="preserve">Doç.Dr. HALİL ÖZEKİCİOĞLU  </v>
      </c>
      <c r="AB48" t="str">
        <f t="shared" si="16"/>
        <v>2510318</v>
      </c>
    </row>
    <row r="49" spans="6:28" x14ac:dyDescent="0.45">
      <c r="F49" t="s">
        <v>247</v>
      </c>
      <c r="G49" t="s">
        <v>289</v>
      </c>
      <c r="H49" t="s">
        <v>290</v>
      </c>
      <c r="I49" t="s">
        <v>291</v>
      </c>
      <c r="K49" s="4">
        <f t="shared" si="1"/>
        <v>3</v>
      </c>
      <c r="L49" s="4">
        <f t="shared" si="2"/>
        <v>8</v>
      </c>
      <c r="M49" s="4">
        <f t="shared" si="17"/>
        <v>4</v>
      </c>
      <c r="N49" s="4">
        <f t="shared" si="17"/>
        <v>4</v>
      </c>
      <c r="O49" t="str">
        <f t="shared" si="3"/>
        <v>N</v>
      </c>
      <c r="P49">
        <f t="shared" si="4"/>
        <v>17</v>
      </c>
      <c r="Q49" t="str">
        <f t="shared" si="5"/>
        <v>N</v>
      </c>
      <c r="R49">
        <f t="shared" si="6"/>
        <v>17</v>
      </c>
      <c r="S49" s="4">
        <f t="shared" si="7"/>
        <v>3</v>
      </c>
      <c r="T49" s="4">
        <f t="shared" si="8"/>
        <v>3</v>
      </c>
      <c r="U49" t="str">
        <f t="shared" si="9"/>
        <v>M</v>
      </c>
      <c r="V49">
        <f t="shared" si="10"/>
        <v>16</v>
      </c>
      <c r="W49" t="str">
        <f t="shared" si="11"/>
        <v>T</v>
      </c>
      <c r="X49">
        <f t="shared" si="12"/>
        <v>25</v>
      </c>
      <c r="Y49" s="4">
        <f t="shared" si="13"/>
        <v>4</v>
      </c>
      <c r="Z49" t="str">
        <f t="shared" si="14"/>
        <v>3844334</v>
      </c>
      <c r="AA49" t="str">
        <f t="shared" si="15"/>
        <v xml:space="preserve">Dr.Öğr.Üyesi NURETTİN MERT BATU </v>
      </c>
      <c r="AB49" t="str">
        <f t="shared" si="16"/>
        <v>3844334</v>
      </c>
    </row>
    <row r="50" spans="6:28" x14ac:dyDescent="0.45">
      <c r="F50" t="s">
        <v>247</v>
      </c>
      <c r="G50" t="s">
        <v>289</v>
      </c>
      <c r="H50" t="s">
        <v>290</v>
      </c>
      <c r="I50" t="s">
        <v>291</v>
      </c>
      <c r="K50" s="4">
        <f t="shared" si="1"/>
        <v>3</v>
      </c>
      <c r="L50" s="4">
        <f t="shared" si="2"/>
        <v>8</v>
      </c>
      <c r="M50" s="4">
        <f t="shared" si="17"/>
        <v>4</v>
      </c>
      <c r="N50" s="4">
        <f t="shared" si="17"/>
        <v>4</v>
      </c>
      <c r="O50" t="str">
        <f t="shared" si="3"/>
        <v>N</v>
      </c>
      <c r="P50">
        <f t="shared" si="4"/>
        <v>17</v>
      </c>
      <c r="Q50" t="str">
        <f t="shared" si="5"/>
        <v>N</v>
      </c>
      <c r="R50">
        <f t="shared" si="6"/>
        <v>17</v>
      </c>
      <c r="S50" s="4">
        <f t="shared" si="7"/>
        <v>3</v>
      </c>
      <c r="T50" s="4">
        <f t="shared" si="8"/>
        <v>3</v>
      </c>
      <c r="U50" t="str">
        <f t="shared" si="9"/>
        <v>M</v>
      </c>
      <c r="V50">
        <f t="shared" si="10"/>
        <v>16</v>
      </c>
      <c r="W50" t="str">
        <f t="shared" si="11"/>
        <v>T</v>
      </c>
      <c r="X50">
        <f t="shared" si="12"/>
        <v>25</v>
      </c>
      <c r="Y50" s="4">
        <f t="shared" si="13"/>
        <v>4</v>
      </c>
      <c r="Z50" t="str">
        <f t="shared" si="14"/>
        <v>3844334</v>
      </c>
      <c r="AA50" t="str">
        <f t="shared" si="15"/>
        <v xml:space="preserve">Dr.Öğr.Üyesi NURETTİN MERT BATU </v>
      </c>
      <c r="AB50" t="str">
        <f t="shared" si="16"/>
        <v>3844334</v>
      </c>
    </row>
    <row r="51" spans="6:28" x14ac:dyDescent="0.45">
      <c r="F51" t="s">
        <v>246</v>
      </c>
      <c r="G51" t="s">
        <v>280</v>
      </c>
      <c r="H51" t="s">
        <v>281</v>
      </c>
      <c r="I51" t="s">
        <v>282</v>
      </c>
      <c r="K51" s="4">
        <f t="shared" si="1"/>
        <v>2</v>
      </c>
      <c r="L51" s="4">
        <f t="shared" si="2"/>
        <v>7</v>
      </c>
      <c r="M51" s="4">
        <f t="shared" si="17"/>
        <v>6</v>
      </c>
      <c r="N51" s="4">
        <f t="shared" si="17"/>
        <v>7</v>
      </c>
      <c r="O51" t="str">
        <f t="shared" si="3"/>
        <v>İ</v>
      </c>
      <c r="P51">
        <f t="shared" si="4"/>
        <v>12</v>
      </c>
      <c r="Q51" t="str">
        <f t="shared" si="5"/>
        <v>M</v>
      </c>
      <c r="R51">
        <f t="shared" si="6"/>
        <v>16</v>
      </c>
      <c r="S51" s="4">
        <f t="shared" si="7"/>
        <v>5</v>
      </c>
      <c r="T51" s="4">
        <f t="shared" si="8"/>
        <v>2</v>
      </c>
      <c r="U51" t="str">
        <f t="shared" si="9"/>
        <v>T</v>
      </c>
      <c r="V51">
        <f t="shared" si="10"/>
        <v>25</v>
      </c>
      <c r="W51" t="str">
        <f t="shared" si="11"/>
        <v>N</v>
      </c>
      <c r="X51">
        <f t="shared" si="12"/>
        <v>17</v>
      </c>
      <c r="Y51" s="4">
        <f t="shared" si="13"/>
        <v>2</v>
      </c>
      <c r="Z51" t="str">
        <f t="shared" si="14"/>
        <v>2767522</v>
      </c>
      <c r="AA51" t="str">
        <f t="shared" si="15"/>
        <v xml:space="preserve">Doç.Dr. İBRAHİM TAYLAN DÖRTYOL </v>
      </c>
      <c r="AB51" t="str">
        <f t="shared" si="16"/>
        <v>2767522</v>
      </c>
    </row>
    <row r="52" spans="6:28" x14ac:dyDescent="0.45">
      <c r="F52" t="s">
        <v>246</v>
      </c>
      <c r="G52" t="s">
        <v>280</v>
      </c>
      <c r="H52" t="s">
        <v>281</v>
      </c>
      <c r="I52" t="s">
        <v>282</v>
      </c>
      <c r="K52" s="4">
        <f t="shared" si="1"/>
        <v>2</v>
      </c>
      <c r="L52" s="4">
        <f t="shared" si="2"/>
        <v>7</v>
      </c>
      <c r="M52" s="4">
        <f t="shared" si="17"/>
        <v>6</v>
      </c>
      <c r="N52" s="4">
        <f t="shared" si="17"/>
        <v>7</v>
      </c>
      <c r="O52" t="str">
        <f t="shared" si="3"/>
        <v>İ</v>
      </c>
      <c r="P52">
        <f t="shared" si="4"/>
        <v>12</v>
      </c>
      <c r="Q52" t="str">
        <f t="shared" si="5"/>
        <v>M</v>
      </c>
      <c r="R52">
        <f t="shared" si="6"/>
        <v>16</v>
      </c>
      <c r="S52" s="4">
        <f t="shared" si="7"/>
        <v>5</v>
      </c>
      <c r="T52" s="4">
        <f t="shared" si="8"/>
        <v>2</v>
      </c>
      <c r="U52" t="str">
        <f t="shared" si="9"/>
        <v>T</v>
      </c>
      <c r="V52">
        <f t="shared" si="10"/>
        <v>25</v>
      </c>
      <c r="W52" t="str">
        <f t="shared" si="11"/>
        <v>N</v>
      </c>
      <c r="X52">
        <f t="shared" si="12"/>
        <v>17</v>
      </c>
      <c r="Y52" s="4">
        <f t="shared" si="13"/>
        <v>2</v>
      </c>
      <c r="Z52" t="str">
        <f t="shared" si="14"/>
        <v>2767522</v>
      </c>
      <c r="AA52" t="str">
        <f t="shared" si="15"/>
        <v xml:space="preserve">Doç.Dr. İBRAHİM TAYLAN DÖRTYOL </v>
      </c>
      <c r="AB52" t="str">
        <f t="shared" si="16"/>
        <v>2767522</v>
      </c>
    </row>
    <row r="53" spans="6:28" x14ac:dyDescent="0.45">
      <c r="F53" t="s">
        <v>248</v>
      </c>
      <c r="G53" t="s">
        <v>292</v>
      </c>
      <c r="H53" t="s">
        <v>293</v>
      </c>
      <c r="I53" t="s">
        <v>294</v>
      </c>
      <c r="K53" s="4">
        <f t="shared" si="1"/>
        <v>4</v>
      </c>
      <c r="L53" s="4">
        <f t="shared" si="2"/>
        <v>4</v>
      </c>
      <c r="M53" s="4">
        <f t="shared" si="17"/>
        <v>6</v>
      </c>
      <c r="N53" s="4">
        <f t="shared" si="17"/>
        <v>5</v>
      </c>
      <c r="O53" t="str">
        <f t="shared" si="3"/>
        <v>A</v>
      </c>
      <c r="P53">
        <f t="shared" si="4"/>
        <v>1</v>
      </c>
      <c r="Q53" t="str">
        <f t="shared" si="5"/>
        <v>A</v>
      </c>
      <c r="R53">
        <f t="shared" si="6"/>
        <v>1</v>
      </c>
      <c r="S53" s="4">
        <f t="shared" si="7"/>
        <v>1</v>
      </c>
      <c r="T53" s="4">
        <f t="shared" si="8"/>
        <v>1</v>
      </c>
      <c r="U53" t="str">
        <f t="shared" si="9"/>
        <v>K</v>
      </c>
      <c r="V53">
        <f t="shared" si="10"/>
        <v>14</v>
      </c>
      <c r="W53" t="str">
        <f t="shared" si="11"/>
        <v>L</v>
      </c>
      <c r="X53">
        <f t="shared" si="12"/>
        <v>15</v>
      </c>
      <c r="Y53" s="4">
        <f t="shared" si="13"/>
        <v>3</v>
      </c>
      <c r="Z53" t="str">
        <f t="shared" si="14"/>
        <v>4465113</v>
      </c>
      <c r="AA53" t="str">
        <f t="shared" si="15"/>
        <v xml:space="preserve">Öğr.Gör.Dr. AYÇA KANGAL DEMİR </v>
      </c>
      <c r="AB53" t="str">
        <f t="shared" si="16"/>
        <v>4465113</v>
      </c>
    </row>
    <row r="54" spans="6:28" x14ac:dyDescent="0.45">
      <c r="F54" t="s">
        <v>248</v>
      </c>
      <c r="G54" t="s">
        <v>292</v>
      </c>
      <c r="H54" t="s">
        <v>293</v>
      </c>
      <c r="I54" t="s">
        <v>294</v>
      </c>
      <c r="K54" s="4">
        <f t="shared" si="1"/>
        <v>4</v>
      </c>
      <c r="L54" s="4">
        <f t="shared" si="2"/>
        <v>4</v>
      </c>
      <c r="M54" s="4">
        <f t="shared" si="17"/>
        <v>6</v>
      </c>
      <c r="N54" s="4">
        <f t="shared" si="17"/>
        <v>5</v>
      </c>
      <c r="O54" t="str">
        <f t="shared" si="3"/>
        <v>A</v>
      </c>
      <c r="P54">
        <f t="shared" si="4"/>
        <v>1</v>
      </c>
      <c r="Q54" t="str">
        <f t="shared" si="5"/>
        <v>A</v>
      </c>
      <c r="R54">
        <f t="shared" si="6"/>
        <v>1</v>
      </c>
      <c r="S54" s="4">
        <f t="shared" si="7"/>
        <v>1</v>
      </c>
      <c r="T54" s="4">
        <f t="shared" si="8"/>
        <v>1</v>
      </c>
      <c r="U54" t="str">
        <f t="shared" si="9"/>
        <v>K</v>
      </c>
      <c r="V54">
        <f t="shared" si="10"/>
        <v>14</v>
      </c>
      <c r="W54" t="str">
        <f t="shared" si="11"/>
        <v>L</v>
      </c>
      <c r="X54">
        <f t="shared" si="12"/>
        <v>15</v>
      </c>
      <c r="Y54" s="4">
        <f t="shared" si="13"/>
        <v>3</v>
      </c>
      <c r="Z54" t="str">
        <f t="shared" si="14"/>
        <v>4465113</v>
      </c>
      <c r="AA54" t="str">
        <f t="shared" si="15"/>
        <v xml:space="preserve">Öğr.Gör.Dr. AYÇA KANGAL DEMİR </v>
      </c>
      <c r="AB54" t="str">
        <f t="shared" si="16"/>
        <v>4465113</v>
      </c>
    </row>
    <row r="55" spans="6:28" x14ac:dyDescent="0.45">
      <c r="F55" t="s">
        <v>246</v>
      </c>
      <c r="G55" t="s">
        <v>283</v>
      </c>
      <c r="H55" t="s">
        <v>284</v>
      </c>
      <c r="K55" s="4">
        <f t="shared" si="1"/>
        <v>2</v>
      </c>
      <c r="L55" s="4">
        <f t="shared" si="2"/>
        <v>4</v>
      </c>
      <c r="M55" s="4">
        <f t="shared" si="17"/>
        <v>8</v>
      </c>
      <c r="N55" s="4">
        <f t="shared" si="17"/>
        <v>0</v>
      </c>
      <c r="O55" t="str">
        <f t="shared" si="3"/>
        <v>N</v>
      </c>
      <c r="P55">
        <f t="shared" si="4"/>
        <v>17</v>
      </c>
      <c r="Q55" t="str">
        <f t="shared" si="5"/>
        <v>İ</v>
      </c>
      <c r="R55">
        <f t="shared" si="6"/>
        <v>12</v>
      </c>
      <c r="S55" s="4">
        <f t="shared" si="7"/>
        <v>3</v>
      </c>
      <c r="T55" s="4">
        <f t="shared" si="8"/>
        <v>5</v>
      </c>
      <c r="U55" t="str">
        <f t="shared" si="9"/>
        <v>B</v>
      </c>
      <c r="V55">
        <f t="shared" si="10"/>
        <v>2</v>
      </c>
      <c r="W55" t="str">
        <f t="shared" si="11"/>
        <v>Ğ</v>
      </c>
      <c r="X55">
        <f t="shared" si="12"/>
        <v>9</v>
      </c>
      <c r="Y55" s="4">
        <f t="shared" si="13"/>
        <v>0</v>
      </c>
      <c r="Z55" t="str">
        <f t="shared" si="14"/>
        <v>2480350</v>
      </c>
      <c r="AA55" t="str">
        <f t="shared" si="15"/>
        <v xml:space="preserve">Doç.Dr. NACİ BÜYÜKDAĞ  </v>
      </c>
      <c r="AB55" t="str">
        <f t="shared" si="16"/>
        <v>2480350</v>
      </c>
    </row>
    <row r="56" spans="6:28" x14ac:dyDescent="0.45">
      <c r="F56" t="s">
        <v>246</v>
      </c>
      <c r="G56" t="s">
        <v>283</v>
      </c>
      <c r="H56" t="s">
        <v>284</v>
      </c>
      <c r="K56" s="4">
        <f t="shared" si="1"/>
        <v>2</v>
      </c>
      <c r="L56" s="4">
        <f t="shared" si="2"/>
        <v>4</v>
      </c>
      <c r="M56" s="4">
        <f t="shared" si="17"/>
        <v>8</v>
      </c>
      <c r="N56" s="4">
        <f t="shared" si="17"/>
        <v>0</v>
      </c>
      <c r="O56" t="str">
        <f t="shared" si="3"/>
        <v>N</v>
      </c>
      <c r="P56">
        <f t="shared" si="4"/>
        <v>17</v>
      </c>
      <c r="Q56" t="str">
        <f t="shared" si="5"/>
        <v>İ</v>
      </c>
      <c r="R56">
        <f t="shared" si="6"/>
        <v>12</v>
      </c>
      <c r="S56" s="4">
        <f t="shared" si="7"/>
        <v>3</v>
      </c>
      <c r="T56" s="4">
        <f t="shared" si="8"/>
        <v>5</v>
      </c>
      <c r="U56" t="str">
        <f t="shared" si="9"/>
        <v>B</v>
      </c>
      <c r="V56">
        <f t="shared" si="10"/>
        <v>2</v>
      </c>
      <c r="W56" t="str">
        <f t="shared" si="11"/>
        <v>Ğ</v>
      </c>
      <c r="X56">
        <f t="shared" si="12"/>
        <v>9</v>
      </c>
      <c r="Y56" s="4">
        <f t="shared" si="13"/>
        <v>0</v>
      </c>
      <c r="Z56" t="str">
        <f t="shared" si="14"/>
        <v>2480350</v>
      </c>
      <c r="AA56" t="str">
        <f t="shared" si="15"/>
        <v xml:space="preserve">Doç.Dr. NACİ BÜYÜKDAĞ  </v>
      </c>
      <c r="AB56" t="str">
        <f t="shared" si="16"/>
        <v>2480350</v>
      </c>
    </row>
    <row r="57" spans="6:28" x14ac:dyDescent="0.45">
      <c r="F57" t="s">
        <v>251</v>
      </c>
      <c r="G57" t="s">
        <v>297</v>
      </c>
      <c r="H57" t="s">
        <v>298</v>
      </c>
      <c r="K57" s="4">
        <f t="shared" si="1"/>
        <v>7</v>
      </c>
      <c r="L57" s="4">
        <f t="shared" si="2"/>
        <v>4</v>
      </c>
      <c r="M57" s="4">
        <f t="shared" si="17"/>
        <v>5</v>
      </c>
      <c r="N57" s="4">
        <f t="shared" si="17"/>
        <v>0</v>
      </c>
      <c r="O57" t="str">
        <f t="shared" si="3"/>
        <v>A</v>
      </c>
      <c r="P57">
        <f t="shared" si="4"/>
        <v>1</v>
      </c>
      <c r="Q57" t="str">
        <f t="shared" si="5"/>
        <v>I</v>
      </c>
      <c r="R57">
        <f t="shared" si="6"/>
        <v>11</v>
      </c>
      <c r="S57" s="4">
        <f t="shared" si="7"/>
        <v>1</v>
      </c>
      <c r="T57" s="4">
        <f t="shared" si="8"/>
        <v>4</v>
      </c>
      <c r="U57" t="str">
        <f t="shared" si="9"/>
        <v>G</v>
      </c>
      <c r="V57">
        <f t="shared" si="10"/>
        <v>8</v>
      </c>
      <c r="W57" t="str">
        <f t="shared" si="11"/>
        <v>N</v>
      </c>
      <c r="X57">
        <f t="shared" si="12"/>
        <v>17</v>
      </c>
      <c r="Y57" s="4">
        <f t="shared" si="13"/>
        <v>1</v>
      </c>
      <c r="Z57" t="str">
        <f t="shared" si="14"/>
        <v>7450141</v>
      </c>
      <c r="AA57" t="str">
        <f t="shared" si="15"/>
        <v xml:space="preserve">Arş.Gör. ASLI GÜVEN  </v>
      </c>
      <c r="AB57" t="str">
        <f t="shared" si="16"/>
        <v>7450141</v>
      </c>
    </row>
    <row r="58" spans="6:28" x14ac:dyDescent="0.45">
      <c r="F58" t="s">
        <v>251</v>
      </c>
      <c r="G58" t="s">
        <v>297</v>
      </c>
      <c r="H58" t="s">
        <v>298</v>
      </c>
      <c r="K58" s="4">
        <f t="shared" si="1"/>
        <v>7</v>
      </c>
      <c r="L58" s="4">
        <f t="shared" si="2"/>
        <v>4</v>
      </c>
      <c r="M58" s="4">
        <f t="shared" si="17"/>
        <v>5</v>
      </c>
      <c r="N58" s="4">
        <f t="shared" si="17"/>
        <v>0</v>
      </c>
      <c r="O58" t="str">
        <f t="shared" si="3"/>
        <v>A</v>
      </c>
      <c r="P58">
        <f t="shared" si="4"/>
        <v>1</v>
      </c>
      <c r="Q58" t="str">
        <f t="shared" si="5"/>
        <v>I</v>
      </c>
      <c r="R58">
        <f t="shared" si="6"/>
        <v>11</v>
      </c>
      <c r="S58" s="4">
        <f t="shared" si="7"/>
        <v>1</v>
      </c>
      <c r="T58" s="4">
        <f t="shared" si="8"/>
        <v>4</v>
      </c>
      <c r="U58" t="str">
        <f t="shared" si="9"/>
        <v>G</v>
      </c>
      <c r="V58">
        <f t="shared" si="10"/>
        <v>8</v>
      </c>
      <c r="W58" t="str">
        <f t="shared" si="11"/>
        <v>N</v>
      </c>
      <c r="X58">
        <f t="shared" si="12"/>
        <v>17</v>
      </c>
      <c r="Y58" s="4">
        <f t="shared" si="13"/>
        <v>1</v>
      </c>
      <c r="Z58" t="str">
        <f t="shared" si="14"/>
        <v>7450141</v>
      </c>
      <c r="AA58" t="str">
        <f t="shared" si="15"/>
        <v xml:space="preserve">Arş.Gör. ASLI GÜVEN  </v>
      </c>
      <c r="AB58" t="str">
        <f t="shared" si="16"/>
        <v>7450141</v>
      </c>
    </row>
    <row r="59" spans="6:28" x14ac:dyDescent="0.45">
      <c r="F59" t="s">
        <v>246</v>
      </c>
      <c r="G59" t="s">
        <v>280</v>
      </c>
      <c r="H59" t="s">
        <v>281</v>
      </c>
      <c r="I59" t="s">
        <v>282</v>
      </c>
      <c r="K59" s="4">
        <f t="shared" si="1"/>
        <v>2</v>
      </c>
      <c r="L59" s="4">
        <f t="shared" si="2"/>
        <v>7</v>
      </c>
      <c r="M59" s="4">
        <f t="shared" si="17"/>
        <v>6</v>
      </c>
      <c r="N59" s="4">
        <f t="shared" si="17"/>
        <v>7</v>
      </c>
      <c r="O59" t="str">
        <f t="shared" si="3"/>
        <v>İ</v>
      </c>
      <c r="P59">
        <f t="shared" si="4"/>
        <v>12</v>
      </c>
      <c r="Q59" t="str">
        <f t="shared" si="5"/>
        <v>M</v>
      </c>
      <c r="R59">
        <f t="shared" si="6"/>
        <v>16</v>
      </c>
      <c r="S59" s="4">
        <f t="shared" si="7"/>
        <v>5</v>
      </c>
      <c r="T59" s="4">
        <f t="shared" si="8"/>
        <v>2</v>
      </c>
      <c r="U59" t="str">
        <f t="shared" si="9"/>
        <v>T</v>
      </c>
      <c r="V59">
        <f t="shared" si="10"/>
        <v>25</v>
      </c>
      <c r="W59" t="str">
        <f t="shared" si="11"/>
        <v>N</v>
      </c>
      <c r="X59">
        <f t="shared" si="12"/>
        <v>17</v>
      </c>
      <c r="Y59" s="4">
        <f t="shared" si="13"/>
        <v>2</v>
      </c>
      <c r="Z59" t="str">
        <f t="shared" si="14"/>
        <v>2767522</v>
      </c>
      <c r="AA59" t="str">
        <f t="shared" si="15"/>
        <v xml:space="preserve">Doç.Dr. İBRAHİM TAYLAN DÖRTYOL </v>
      </c>
      <c r="AB59" t="str">
        <f t="shared" si="16"/>
        <v>2767522</v>
      </c>
    </row>
    <row r="60" spans="6:28" x14ac:dyDescent="0.45">
      <c r="F60" t="s">
        <v>246</v>
      </c>
      <c r="G60" t="s">
        <v>280</v>
      </c>
      <c r="H60" t="s">
        <v>281</v>
      </c>
      <c r="I60" t="s">
        <v>282</v>
      </c>
      <c r="K60" s="4">
        <f t="shared" si="1"/>
        <v>2</v>
      </c>
      <c r="L60" s="4">
        <f t="shared" si="2"/>
        <v>7</v>
      </c>
      <c r="M60" s="4">
        <f t="shared" si="17"/>
        <v>6</v>
      </c>
      <c r="N60" s="4">
        <f t="shared" si="17"/>
        <v>7</v>
      </c>
      <c r="O60" t="str">
        <f t="shared" si="3"/>
        <v>İ</v>
      </c>
      <c r="P60">
        <f t="shared" si="4"/>
        <v>12</v>
      </c>
      <c r="Q60" t="str">
        <f t="shared" si="5"/>
        <v>M</v>
      </c>
      <c r="R60">
        <f t="shared" si="6"/>
        <v>16</v>
      </c>
      <c r="S60" s="4">
        <f t="shared" si="7"/>
        <v>5</v>
      </c>
      <c r="T60" s="4">
        <f t="shared" si="8"/>
        <v>2</v>
      </c>
      <c r="U60" t="str">
        <f t="shared" si="9"/>
        <v>T</v>
      </c>
      <c r="V60">
        <f t="shared" si="10"/>
        <v>25</v>
      </c>
      <c r="W60" t="str">
        <f t="shared" si="11"/>
        <v>N</v>
      </c>
      <c r="X60">
        <f t="shared" si="12"/>
        <v>17</v>
      </c>
      <c r="Y60" s="4">
        <f t="shared" si="13"/>
        <v>2</v>
      </c>
      <c r="Z60" t="str">
        <f t="shared" si="14"/>
        <v>2767522</v>
      </c>
      <c r="AA60" t="str">
        <f t="shared" si="15"/>
        <v xml:space="preserve">Doç.Dr. İBRAHİM TAYLAN DÖRTYOL </v>
      </c>
      <c r="AB60" t="str">
        <f t="shared" si="16"/>
        <v>2767522</v>
      </c>
    </row>
    <row r="61" spans="6:28" x14ac:dyDescent="0.45">
      <c r="F61" t="s">
        <v>246</v>
      </c>
      <c r="G61" t="s">
        <v>280</v>
      </c>
      <c r="H61" t="s">
        <v>281</v>
      </c>
      <c r="I61" t="s">
        <v>282</v>
      </c>
      <c r="K61" s="4">
        <f t="shared" si="1"/>
        <v>2</v>
      </c>
      <c r="L61" s="4">
        <f t="shared" si="2"/>
        <v>7</v>
      </c>
      <c r="M61" s="4">
        <f t="shared" si="17"/>
        <v>6</v>
      </c>
      <c r="N61" s="4">
        <f t="shared" si="17"/>
        <v>7</v>
      </c>
      <c r="O61" t="str">
        <f t="shared" si="3"/>
        <v>İ</v>
      </c>
      <c r="P61">
        <f t="shared" si="4"/>
        <v>12</v>
      </c>
      <c r="Q61" t="str">
        <f t="shared" si="5"/>
        <v>M</v>
      </c>
      <c r="R61">
        <f t="shared" si="6"/>
        <v>16</v>
      </c>
      <c r="S61" s="4">
        <f t="shared" si="7"/>
        <v>5</v>
      </c>
      <c r="T61" s="4">
        <f t="shared" si="8"/>
        <v>2</v>
      </c>
      <c r="U61" t="str">
        <f t="shared" si="9"/>
        <v>T</v>
      </c>
      <c r="V61">
        <f t="shared" si="10"/>
        <v>25</v>
      </c>
      <c r="W61" t="str">
        <f t="shared" si="11"/>
        <v>N</v>
      </c>
      <c r="X61">
        <f t="shared" si="12"/>
        <v>17</v>
      </c>
      <c r="Y61" s="4">
        <f t="shared" si="13"/>
        <v>2</v>
      </c>
      <c r="Z61" t="str">
        <f t="shared" si="14"/>
        <v>2767522</v>
      </c>
      <c r="AA61" t="str">
        <f t="shared" si="15"/>
        <v xml:space="preserve">Doç.Dr. İBRAHİM TAYLAN DÖRTYOL </v>
      </c>
      <c r="AB61" t="str">
        <f t="shared" si="16"/>
        <v>2767522</v>
      </c>
    </row>
    <row r="62" spans="6:28" x14ac:dyDescent="0.45">
      <c r="F62" t="s">
        <v>246</v>
      </c>
      <c r="G62" t="s">
        <v>283</v>
      </c>
      <c r="H62" t="s">
        <v>284</v>
      </c>
      <c r="K62" s="4">
        <f t="shared" si="1"/>
        <v>2</v>
      </c>
      <c r="L62" s="4">
        <f t="shared" si="2"/>
        <v>4</v>
      </c>
      <c r="M62" s="4">
        <f t="shared" si="17"/>
        <v>8</v>
      </c>
      <c r="N62" s="4">
        <f t="shared" si="17"/>
        <v>0</v>
      </c>
      <c r="O62" t="str">
        <f t="shared" si="3"/>
        <v>N</v>
      </c>
      <c r="P62">
        <f t="shared" si="4"/>
        <v>17</v>
      </c>
      <c r="Q62" t="str">
        <f t="shared" si="5"/>
        <v>İ</v>
      </c>
      <c r="R62">
        <f t="shared" si="6"/>
        <v>12</v>
      </c>
      <c r="S62" s="4">
        <f t="shared" si="7"/>
        <v>3</v>
      </c>
      <c r="T62" s="4">
        <f t="shared" si="8"/>
        <v>5</v>
      </c>
      <c r="U62" t="str">
        <f t="shared" si="9"/>
        <v>B</v>
      </c>
      <c r="V62">
        <f t="shared" si="10"/>
        <v>2</v>
      </c>
      <c r="W62" t="str">
        <f t="shared" si="11"/>
        <v>Ğ</v>
      </c>
      <c r="X62">
        <f t="shared" si="12"/>
        <v>9</v>
      </c>
      <c r="Y62" s="4">
        <f t="shared" si="13"/>
        <v>0</v>
      </c>
      <c r="Z62" t="str">
        <f t="shared" si="14"/>
        <v>2480350</v>
      </c>
      <c r="AA62" t="str">
        <f t="shared" si="15"/>
        <v xml:space="preserve">Doç.Dr. NACİ BÜYÜKDAĞ  </v>
      </c>
      <c r="AB62" t="str">
        <f t="shared" si="16"/>
        <v>2480350</v>
      </c>
    </row>
    <row r="63" spans="6:28" x14ac:dyDescent="0.45">
      <c r="F63" t="s">
        <v>246</v>
      </c>
      <c r="G63" t="s">
        <v>283</v>
      </c>
      <c r="H63" t="s">
        <v>284</v>
      </c>
      <c r="K63" s="4">
        <f t="shared" si="1"/>
        <v>2</v>
      </c>
      <c r="L63" s="4">
        <f t="shared" si="2"/>
        <v>4</v>
      </c>
      <c r="M63" s="4">
        <f t="shared" si="17"/>
        <v>8</v>
      </c>
      <c r="N63" s="4">
        <f t="shared" si="17"/>
        <v>0</v>
      </c>
      <c r="O63" t="str">
        <f t="shared" si="3"/>
        <v>N</v>
      </c>
      <c r="P63">
        <f t="shared" si="4"/>
        <v>17</v>
      </c>
      <c r="Q63" t="str">
        <f t="shared" si="5"/>
        <v>İ</v>
      </c>
      <c r="R63">
        <f t="shared" si="6"/>
        <v>12</v>
      </c>
      <c r="S63" s="4">
        <f t="shared" si="7"/>
        <v>3</v>
      </c>
      <c r="T63" s="4">
        <f t="shared" si="8"/>
        <v>5</v>
      </c>
      <c r="U63" t="str">
        <f t="shared" si="9"/>
        <v>B</v>
      </c>
      <c r="V63">
        <f t="shared" si="10"/>
        <v>2</v>
      </c>
      <c r="W63" t="str">
        <f t="shared" si="11"/>
        <v>Ğ</v>
      </c>
      <c r="X63">
        <f t="shared" si="12"/>
        <v>9</v>
      </c>
      <c r="Y63" s="4">
        <f t="shared" si="13"/>
        <v>0</v>
      </c>
      <c r="Z63" t="str">
        <f t="shared" si="14"/>
        <v>2480350</v>
      </c>
      <c r="AA63" t="str">
        <f t="shared" si="15"/>
        <v xml:space="preserve">Doç.Dr. NACİ BÜYÜKDAĞ  </v>
      </c>
      <c r="AB63" t="str">
        <f t="shared" si="16"/>
        <v>2480350</v>
      </c>
    </row>
    <row r="64" spans="6:28" x14ac:dyDescent="0.45">
      <c r="F64" t="s">
        <v>246</v>
      </c>
      <c r="G64" t="s">
        <v>285</v>
      </c>
      <c r="H64" t="s">
        <v>286</v>
      </c>
      <c r="I64" t="s">
        <v>287</v>
      </c>
      <c r="J64" t="s">
        <v>288</v>
      </c>
      <c r="K64" s="4">
        <f t="shared" si="1"/>
        <v>2</v>
      </c>
      <c r="L64" s="4">
        <f t="shared" si="2"/>
        <v>5</v>
      </c>
      <c r="M64" s="4">
        <f t="shared" si="17"/>
        <v>6</v>
      </c>
      <c r="N64" s="4">
        <f t="shared" si="17"/>
        <v>6</v>
      </c>
      <c r="O64" t="str">
        <f t="shared" si="3"/>
        <v>R</v>
      </c>
      <c r="P64">
        <f t="shared" si="4"/>
        <v>22</v>
      </c>
      <c r="Q64" t="str">
        <f t="shared" si="5"/>
        <v>E</v>
      </c>
      <c r="R64">
        <f t="shared" si="6"/>
        <v>6</v>
      </c>
      <c r="S64" s="4">
        <f t="shared" si="7"/>
        <v>1</v>
      </c>
      <c r="T64" s="4">
        <f t="shared" si="8"/>
        <v>6</v>
      </c>
      <c r="U64" t="str">
        <f t="shared" si="9"/>
        <v>M</v>
      </c>
      <c r="V64">
        <f t="shared" si="10"/>
        <v>16</v>
      </c>
      <c r="W64" t="str">
        <f t="shared" si="11"/>
        <v>M</v>
      </c>
      <c r="X64">
        <f t="shared" si="12"/>
        <v>16</v>
      </c>
      <c r="Y64" s="4">
        <f t="shared" si="13"/>
        <v>4</v>
      </c>
      <c r="Z64" t="str">
        <f t="shared" si="14"/>
        <v>2566164</v>
      </c>
      <c r="AA64" t="str">
        <f t="shared" si="15"/>
        <v>Doç.Dr. RAİFE MELTEM YETKİN ÖZBÜK</v>
      </c>
      <c r="AB64" t="str">
        <f t="shared" si="16"/>
        <v>2566164</v>
      </c>
    </row>
    <row r="65" spans="6:28" x14ac:dyDescent="0.45">
      <c r="F65" t="s">
        <v>246</v>
      </c>
      <c r="G65" t="s">
        <v>285</v>
      </c>
      <c r="H65" t="s">
        <v>286</v>
      </c>
      <c r="I65" t="s">
        <v>287</v>
      </c>
      <c r="J65" t="s">
        <v>288</v>
      </c>
      <c r="K65" s="4">
        <f t="shared" si="1"/>
        <v>2</v>
      </c>
      <c r="L65" s="4">
        <f t="shared" si="2"/>
        <v>5</v>
      </c>
      <c r="M65" s="4">
        <f t="shared" si="17"/>
        <v>6</v>
      </c>
      <c r="N65" s="4">
        <f t="shared" si="17"/>
        <v>6</v>
      </c>
      <c r="O65" t="str">
        <f t="shared" si="3"/>
        <v>R</v>
      </c>
      <c r="P65">
        <f t="shared" si="4"/>
        <v>22</v>
      </c>
      <c r="Q65" t="str">
        <f t="shared" si="5"/>
        <v>E</v>
      </c>
      <c r="R65">
        <f t="shared" si="6"/>
        <v>6</v>
      </c>
      <c r="S65" s="4">
        <f t="shared" si="7"/>
        <v>1</v>
      </c>
      <c r="T65" s="4">
        <f t="shared" si="8"/>
        <v>6</v>
      </c>
      <c r="U65" t="str">
        <f t="shared" si="9"/>
        <v>M</v>
      </c>
      <c r="V65">
        <f t="shared" si="10"/>
        <v>16</v>
      </c>
      <c r="W65" t="str">
        <f t="shared" si="11"/>
        <v>M</v>
      </c>
      <c r="X65">
        <f t="shared" si="12"/>
        <v>16</v>
      </c>
      <c r="Y65" s="4">
        <f t="shared" si="13"/>
        <v>4</v>
      </c>
      <c r="Z65" t="str">
        <f t="shared" si="14"/>
        <v>2566164</v>
      </c>
      <c r="AA65" t="str">
        <f t="shared" si="15"/>
        <v>Doç.Dr. RAİFE MELTEM YETKİN ÖZBÜK</v>
      </c>
      <c r="AB65" t="str">
        <f t="shared" si="16"/>
        <v>2566164</v>
      </c>
    </row>
    <row r="66" spans="6:28" x14ac:dyDescent="0.45">
      <c r="F66" t="s">
        <v>246</v>
      </c>
      <c r="G66" t="s">
        <v>283</v>
      </c>
      <c r="H66" t="s">
        <v>284</v>
      </c>
      <c r="K66" s="4">
        <f t="shared" si="1"/>
        <v>2</v>
      </c>
      <c r="L66" s="4">
        <f t="shared" si="2"/>
        <v>4</v>
      </c>
      <c r="M66" s="4">
        <f t="shared" si="17"/>
        <v>8</v>
      </c>
      <c r="N66" s="4">
        <f t="shared" si="17"/>
        <v>0</v>
      </c>
      <c r="O66" t="str">
        <f t="shared" si="3"/>
        <v>N</v>
      </c>
      <c r="P66">
        <f t="shared" si="4"/>
        <v>17</v>
      </c>
      <c r="Q66" t="str">
        <f t="shared" si="5"/>
        <v>İ</v>
      </c>
      <c r="R66">
        <f t="shared" si="6"/>
        <v>12</v>
      </c>
      <c r="S66" s="4">
        <f t="shared" si="7"/>
        <v>3</v>
      </c>
      <c r="T66" s="4">
        <f t="shared" si="8"/>
        <v>5</v>
      </c>
      <c r="U66" t="str">
        <f t="shared" si="9"/>
        <v>B</v>
      </c>
      <c r="V66">
        <f t="shared" si="10"/>
        <v>2</v>
      </c>
      <c r="W66" t="str">
        <f t="shared" si="11"/>
        <v>Ğ</v>
      </c>
      <c r="X66">
        <f t="shared" si="12"/>
        <v>9</v>
      </c>
      <c r="Y66" s="4">
        <f t="shared" si="13"/>
        <v>0</v>
      </c>
      <c r="Z66" t="str">
        <f t="shared" si="14"/>
        <v>2480350</v>
      </c>
      <c r="AA66" t="str">
        <f t="shared" si="15"/>
        <v xml:space="preserve">Doç.Dr. NACİ BÜYÜKDAĞ  </v>
      </c>
      <c r="AB66" t="str">
        <f t="shared" si="16"/>
        <v>2480350</v>
      </c>
    </row>
    <row r="67" spans="6:28" x14ac:dyDescent="0.45">
      <c r="F67" t="s">
        <v>246</v>
      </c>
      <c r="G67" t="s">
        <v>283</v>
      </c>
      <c r="H67" t="s">
        <v>284</v>
      </c>
      <c r="K67" s="4">
        <f t="shared" ref="K67:K130" si="18">IF(F67="Prof.Dr.",1,IF(F67="Doç.Dr.",2,IF(F67="Dr.Öğr.Üyesi",3,IF(F67="Öğr.Gör.Dr.",4,IF(F67="Öğr.Gör.",5,IF(F67="Arş.Gör.Dr.",6,IF(F67="Arş.Gör.",7,"YOK")))))))</f>
        <v>2</v>
      </c>
      <c r="L67" s="4">
        <f t="shared" ref="L67:L130" si="19">LEN(G67)</f>
        <v>4</v>
      </c>
      <c r="M67" s="4">
        <f t="shared" si="17"/>
        <v>8</v>
      </c>
      <c r="N67" s="4">
        <f t="shared" si="17"/>
        <v>0</v>
      </c>
      <c r="O67" t="str">
        <f t="shared" ref="O67:O130" si="20">MID(G67,1,1)</f>
        <v>N</v>
      </c>
      <c r="P67">
        <f t="shared" ref="P67:P130" si="21">MATCH(O67,$A$10:$A$41,0)</f>
        <v>17</v>
      </c>
      <c r="Q67" t="str">
        <f t="shared" ref="Q67:Q130" si="22">UPPER(MID(G67,LEN(G67),1))</f>
        <v>İ</v>
      </c>
      <c r="R67">
        <f t="shared" ref="R67:R130" si="23">MATCH(Q67,$A$10:$A$41,0)</f>
        <v>12</v>
      </c>
      <c r="S67" s="4">
        <f t="shared" ref="S67:S130" si="24">MOD(P67,7)</f>
        <v>3</v>
      </c>
      <c r="T67" s="4">
        <f t="shared" ref="T67:T130" si="25">MOD(R67,7)</f>
        <v>5</v>
      </c>
      <c r="U67" t="str">
        <f t="shared" ref="U67:U130" si="26">MID(H67,1,1)</f>
        <v>B</v>
      </c>
      <c r="V67">
        <f t="shared" ref="V67:V130" si="27">MATCH(U67,$A$10:$A$41,0)</f>
        <v>2</v>
      </c>
      <c r="W67" t="str">
        <f t="shared" ref="W67:W130" si="28">UPPER(MID(H67,LEN(H67),1))</f>
        <v>Ğ</v>
      </c>
      <c r="X67">
        <f t="shared" ref="X67:X130" si="29">MATCH(W67,$A$10:$A$41,0)</f>
        <v>9</v>
      </c>
      <c r="Y67" s="4">
        <f t="shared" ref="Y67:Y130" si="30">MOD(V67*X67,9)</f>
        <v>0</v>
      </c>
      <c r="Z67" t="str">
        <f t="shared" ref="Z67:Z130" si="31">CONCATENATE(K67,L67,M67,N67,S67,T67,Y67)</f>
        <v>2480350</v>
      </c>
      <c r="AA67" t="str">
        <f t="shared" ref="AA67:AA130" si="32">CONCATENATE(F67," ",G67," ",H67," ",I67," ",J67)</f>
        <v xml:space="preserve">Doç.Dr. NACİ BÜYÜKDAĞ  </v>
      </c>
      <c r="AB67" t="str">
        <f t="shared" ref="AB67:AB130" si="33">Z67</f>
        <v>2480350</v>
      </c>
    </row>
    <row r="68" spans="6:28" x14ac:dyDescent="0.45">
      <c r="F68" t="s">
        <v>246</v>
      </c>
      <c r="G68" t="s">
        <v>280</v>
      </c>
      <c r="H68" t="s">
        <v>281</v>
      </c>
      <c r="I68" t="s">
        <v>282</v>
      </c>
      <c r="K68" s="4">
        <f t="shared" si="18"/>
        <v>2</v>
      </c>
      <c r="L68" s="4">
        <f t="shared" si="19"/>
        <v>7</v>
      </c>
      <c r="M68" s="4">
        <f t="shared" si="17"/>
        <v>6</v>
      </c>
      <c r="N68" s="4">
        <f t="shared" si="17"/>
        <v>7</v>
      </c>
      <c r="O68" t="str">
        <f t="shared" si="20"/>
        <v>İ</v>
      </c>
      <c r="P68">
        <f t="shared" si="21"/>
        <v>12</v>
      </c>
      <c r="Q68" t="str">
        <f t="shared" si="22"/>
        <v>M</v>
      </c>
      <c r="R68">
        <f t="shared" si="23"/>
        <v>16</v>
      </c>
      <c r="S68" s="4">
        <f t="shared" si="24"/>
        <v>5</v>
      </c>
      <c r="T68" s="4">
        <f t="shared" si="25"/>
        <v>2</v>
      </c>
      <c r="U68" t="str">
        <f t="shared" si="26"/>
        <v>T</v>
      </c>
      <c r="V68">
        <f t="shared" si="27"/>
        <v>25</v>
      </c>
      <c r="W68" t="str">
        <f t="shared" si="28"/>
        <v>N</v>
      </c>
      <c r="X68">
        <f t="shared" si="29"/>
        <v>17</v>
      </c>
      <c r="Y68" s="4">
        <f t="shared" si="30"/>
        <v>2</v>
      </c>
      <c r="Z68" t="str">
        <f t="shared" si="31"/>
        <v>2767522</v>
      </c>
      <c r="AA68" t="str">
        <f t="shared" si="32"/>
        <v xml:space="preserve">Doç.Dr. İBRAHİM TAYLAN DÖRTYOL </v>
      </c>
      <c r="AB68" t="str">
        <f t="shared" si="33"/>
        <v>2767522</v>
      </c>
    </row>
    <row r="69" spans="6:28" x14ac:dyDescent="0.45">
      <c r="F69" t="s">
        <v>246</v>
      </c>
      <c r="G69" t="s">
        <v>280</v>
      </c>
      <c r="H69" t="s">
        <v>281</v>
      </c>
      <c r="I69" t="s">
        <v>282</v>
      </c>
      <c r="K69" s="4">
        <f t="shared" si="18"/>
        <v>2</v>
      </c>
      <c r="L69" s="4">
        <f t="shared" si="19"/>
        <v>7</v>
      </c>
      <c r="M69" s="4">
        <f t="shared" si="17"/>
        <v>6</v>
      </c>
      <c r="N69" s="4">
        <f t="shared" si="17"/>
        <v>7</v>
      </c>
      <c r="O69" t="str">
        <f t="shared" si="20"/>
        <v>İ</v>
      </c>
      <c r="P69">
        <f t="shared" si="21"/>
        <v>12</v>
      </c>
      <c r="Q69" t="str">
        <f t="shared" si="22"/>
        <v>M</v>
      </c>
      <c r="R69">
        <f t="shared" si="23"/>
        <v>16</v>
      </c>
      <c r="S69" s="4">
        <f t="shared" si="24"/>
        <v>5</v>
      </c>
      <c r="T69" s="4">
        <f t="shared" si="25"/>
        <v>2</v>
      </c>
      <c r="U69" t="str">
        <f t="shared" si="26"/>
        <v>T</v>
      </c>
      <c r="V69">
        <f t="shared" si="27"/>
        <v>25</v>
      </c>
      <c r="W69" t="str">
        <f t="shared" si="28"/>
        <v>N</v>
      </c>
      <c r="X69">
        <f t="shared" si="29"/>
        <v>17</v>
      </c>
      <c r="Y69" s="4">
        <f t="shared" si="30"/>
        <v>2</v>
      </c>
      <c r="Z69" t="str">
        <f t="shared" si="31"/>
        <v>2767522</v>
      </c>
      <c r="AA69" t="str">
        <f t="shared" si="32"/>
        <v xml:space="preserve">Doç.Dr. İBRAHİM TAYLAN DÖRTYOL </v>
      </c>
      <c r="AB69" t="str">
        <f t="shared" si="33"/>
        <v>2767522</v>
      </c>
    </row>
    <row r="70" spans="6:28" x14ac:dyDescent="0.45">
      <c r="F70" t="s">
        <v>247</v>
      </c>
      <c r="G70" t="s">
        <v>289</v>
      </c>
      <c r="H70" t="s">
        <v>290</v>
      </c>
      <c r="I70" t="s">
        <v>291</v>
      </c>
      <c r="K70" s="4">
        <f t="shared" si="18"/>
        <v>3</v>
      </c>
      <c r="L70" s="4">
        <f t="shared" si="19"/>
        <v>8</v>
      </c>
      <c r="M70" s="4">
        <f t="shared" si="17"/>
        <v>4</v>
      </c>
      <c r="N70" s="4">
        <f t="shared" si="17"/>
        <v>4</v>
      </c>
      <c r="O70" t="str">
        <f t="shared" si="20"/>
        <v>N</v>
      </c>
      <c r="P70">
        <f t="shared" si="21"/>
        <v>17</v>
      </c>
      <c r="Q70" t="str">
        <f t="shared" si="22"/>
        <v>N</v>
      </c>
      <c r="R70">
        <f t="shared" si="23"/>
        <v>17</v>
      </c>
      <c r="S70" s="4">
        <f t="shared" si="24"/>
        <v>3</v>
      </c>
      <c r="T70" s="4">
        <f t="shared" si="25"/>
        <v>3</v>
      </c>
      <c r="U70" t="str">
        <f t="shared" si="26"/>
        <v>M</v>
      </c>
      <c r="V70">
        <f t="shared" si="27"/>
        <v>16</v>
      </c>
      <c r="W70" t="str">
        <f t="shared" si="28"/>
        <v>T</v>
      </c>
      <c r="X70">
        <f t="shared" si="29"/>
        <v>25</v>
      </c>
      <c r="Y70" s="4">
        <f t="shared" si="30"/>
        <v>4</v>
      </c>
      <c r="Z70" t="str">
        <f t="shared" si="31"/>
        <v>3844334</v>
      </c>
      <c r="AA70" t="str">
        <f t="shared" si="32"/>
        <v xml:space="preserve">Dr.Öğr.Üyesi NURETTİN MERT BATU </v>
      </c>
      <c r="AB70" t="str">
        <f t="shared" si="33"/>
        <v>3844334</v>
      </c>
    </row>
    <row r="71" spans="6:28" x14ac:dyDescent="0.45">
      <c r="F71" t="s">
        <v>247</v>
      </c>
      <c r="G71" t="s">
        <v>289</v>
      </c>
      <c r="H71" t="s">
        <v>290</v>
      </c>
      <c r="I71" t="s">
        <v>291</v>
      </c>
      <c r="K71" s="4">
        <f t="shared" si="18"/>
        <v>3</v>
      </c>
      <c r="L71" s="4">
        <f t="shared" si="19"/>
        <v>8</v>
      </c>
      <c r="M71" s="4">
        <f t="shared" si="17"/>
        <v>4</v>
      </c>
      <c r="N71" s="4">
        <f t="shared" si="17"/>
        <v>4</v>
      </c>
      <c r="O71" t="str">
        <f t="shared" si="20"/>
        <v>N</v>
      </c>
      <c r="P71">
        <f t="shared" si="21"/>
        <v>17</v>
      </c>
      <c r="Q71" t="str">
        <f t="shared" si="22"/>
        <v>N</v>
      </c>
      <c r="R71">
        <f t="shared" si="23"/>
        <v>17</v>
      </c>
      <c r="S71" s="4">
        <f t="shared" si="24"/>
        <v>3</v>
      </c>
      <c r="T71" s="4">
        <f t="shared" si="25"/>
        <v>3</v>
      </c>
      <c r="U71" t="str">
        <f t="shared" si="26"/>
        <v>M</v>
      </c>
      <c r="V71">
        <f t="shared" si="27"/>
        <v>16</v>
      </c>
      <c r="W71" t="str">
        <f t="shared" si="28"/>
        <v>T</v>
      </c>
      <c r="X71">
        <f t="shared" si="29"/>
        <v>25</v>
      </c>
      <c r="Y71" s="4">
        <f t="shared" si="30"/>
        <v>4</v>
      </c>
      <c r="Z71" t="str">
        <f t="shared" si="31"/>
        <v>3844334</v>
      </c>
      <c r="AA71" t="str">
        <f t="shared" si="32"/>
        <v xml:space="preserve">Dr.Öğr.Üyesi NURETTİN MERT BATU </v>
      </c>
      <c r="AB71" t="str">
        <f t="shared" si="33"/>
        <v>3844334</v>
      </c>
    </row>
    <row r="72" spans="6:28" x14ac:dyDescent="0.45">
      <c r="F72" t="s">
        <v>246</v>
      </c>
      <c r="G72" t="s">
        <v>280</v>
      </c>
      <c r="H72" t="s">
        <v>281</v>
      </c>
      <c r="I72" t="s">
        <v>282</v>
      </c>
      <c r="K72" s="4">
        <f t="shared" si="18"/>
        <v>2</v>
      </c>
      <c r="L72" s="4">
        <f t="shared" si="19"/>
        <v>7</v>
      </c>
      <c r="M72" s="4">
        <f t="shared" si="17"/>
        <v>6</v>
      </c>
      <c r="N72" s="4">
        <f t="shared" si="17"/>
        <v>7</v>
      </c>
      <c r="O72" t="str">
        <f t="shared" si="20"/>
        <v>İ</v>
      </c>
      <c r="P72">
        <f t="shared" si="21"/>
        <v>12</v>
      </c>
      <c r="Q72" t="str">
        <f t="shared" si="22"/>
        <v>M</v>
      </c>
      <c r="R72">
        <f t="shared" si="23"/>
        <v>16</v>
      </c>
      <c r="S72" s="4">
        <f t="shared" si="24"/>
        <v>5</v>
      </c>
      <c r="T72" s="4">
        <f t="shared" si="25"/>
        <v>2</v>
      </c>
      <c r="U72" t="str">
        <f t="shared" si="26"/>
        <v>T</v>
      </c>
      <c r="V72">
        <f t="shared" si="27"/>
        <v>25</v>
      </c>
      <c r="W72" t="str">
        <f t="shared" si="28"/>
        <v>N</v>
      </c>
      <c r="X72">
        <f t="shared" si="29"/>
        <v>17</v>
      </c>
      <c r="Y72" s="4">
        <f t="shared" si="30"/>
        <v>2</v>
      </c>
      <c r="Z72" t="str">
        <f t="shared" si="31"/>
        <v>2767522</v>
      </c>
      <c r="AA72" t="str">
        <f t="shared" si="32"/>
        <v xml:space="preserve">Doç.Dr. İBRAHİM TAYLAN DÖRTYOL </v>
      </c>
      <c r="AB72" t="str">
        <f t="shared" si="33"/>
        <v>2767522</v>
      </c>
    </row>
    <row r="73" spans="6:28" x14ac:dyDescent="0.45">
      <c r="F73" t="s">
        <v>251</v>
      </c>
      <c r="G73" t="s">
        <v>297</v>
      </c>
      <c r="H73" t="s">
        <v>298</v>
      </c>
      <c r="K73" s="4">
        <f t="shared" si="18"/>
        <v>7</v>
      </c>
      <c r="L73" s="4">
        <f t="shared" si="19"/>
        <v>4</v>
      </c>
      <c r="M73" s="4">
        <f t="shared" si="17"/>
        <v>5</v>
      </c>
      <c r="N73" s="4">
        <f t="shared" si="17"/>
        <v>0</v>
      </c>
      <c r="O73" t="str">
        <f t="shared" si="20"/>
        <v>A</v>
      </c>
      <c r="P73">
        <f t="shared" si="21"/>
        <v>1</v>
      </c>
      <c r="Q73" t="str">
        <f t="shared" si="22"/>
        <v>I</v>
      </c>
      <c r="R73">
        <f t="shared" si="23"/>
        <v>11</v>
      </c>
      <c r="S73" s="4">
        <f t="shared" si="24"/>
        <v>1</v>
      </c>
      <c r="T73" s="4">
        <f t="shared" si="25"/>
        <v>4</v>
      </c>
      <c r="U73" t="str">
        <f t="shared" si="26"/>
        <v>G</v>
      </c>
      <c r="V73">
        <f t="shared" si="27"/>
        <v>8</v>
      </c>
      <c r="W73" t="str">
        <f t="shared" si="28"/>
        <v>N</v>
      </c>
      <c r="X73">
        <f t="shared" si="29"/>
        <v>17</v>
      </c>
      <c r="Y73" s="4">
        <f t="shared" si="30"/>
        <v>1</v>
      </c>
      <c r="Z73" t="str">
        <f t="shared" si="31"/>
        <v>7450141</v>
      </c>
      <c r="AA73" t="str">
        <f t="shared" si="32"/>
        <v xml:space="preserve">Arş.Gör. ASLI GÜVEN  </v>
      </c>
      <c r="AB73" t="str">
        <f t="shared" si="33"/>
        <v>7450141</v>
      </c>
    </row>
    <row r="74" spans="6:28" x14ac:dyDescent="0.45">
      <c r="F74" t="s">
        <v>251</v>
      </c>
      <c r="G74" t="s">
        <v>297</v>
      </c>
      <c r="H74" t="s">
        <v>298</v>
      </c>
      <c r="K74" s="4">
        <f t="shared" si="18"/>
        <v>7</v>
      </c>
      <c r="L74" s="4">
        <f t="shared" si="19"/>
        <v>4</v>
      </c>
      <c r="M74" s="4">
        <f t="shared" si="17"/>
        <v>5</v>
      </c>
      <c r="N74" s="4">
        <f t="shared" si="17"/>
        <v>0</v>
      </c>
      <c r="O74" t="str">
        <f t="shared" si="20"/>
        <v>A</v>
      </c>
      <c r="P74">
        <f t="shared" si="21"/>
        <v>1</v>
      </c>
      <c r="Q74" t="str">
        <f t="shared" si="22"/>
        <v>I</v>
      </c>
      <c r="R74">
        <f t="shared" si="23"/>
        <v>11</v>
      </c>
      <c r="S74" s="4">
        <f t="shared" si="24"/>
        <v>1</v>
      </c>
      <c r="T74" s="4">
        <f t="shared" si="25"/>
        <v>4</v>
      </c>
      <c r="U74" t="str">
        <f t="shared" si="26"/>
        <v>G</v>
      </c>
      <c r="V74">
        <f t="shared" si="27"/>
        <v>8</v>
      </c>
      <c r="W74" t="str">
        <f t="shared" si="28"/>
        <v>N</v>
      </c>
      <c r="X74">
        <f t="shared" si="29"/>
        <v>17</v>
      </c>
      <c r="Y74" s="4">
        <f t="shared" si="30"/>
        <v>1</v>
      </c>
      <c r="Z74" t="str">
        <f t="shared" si="31"/>
        <v>7450141</v>
      </c>
      <c r="AA74" t="str">
        <f t="shared" si="32"/>
        <v xml:space="preserve">Arş.Gör. ASLI GÜVEN  </v>
      </c>
      <c r="AB74" t="str">
        <f t="shared" si="33"/>
        <v>7450141</v>
      </c>
    </row>
    <row r="75" spans="6:28" x14ac:dyDescent="0.45">
      <c r="F75" t="s">
        <v>246</v>
      </c>
      <c r="G75" t="s">
        <v>254</v>
      </c>
      <c r="H75" t="s">
        <v>255</v>
      </c>
      <c r="K75" s="4">
        <f t="shared" si="18"/>
        <v>2</v>
      </c>
      <c r="L75" s="4">
        <f t="shared" si="19"/>
        <v>7</v>
      </c>
      <c r="M75" s="4">
        <f t="shared" si="17"/>
        <v>5</v>
      </c>
      <c r="N75" s="4">
        <f t="shared" si="17"/>
        <v>0</v>
      </c>
      <c r="O75" t="str">
        <f t="shared" si="20"/>
        <v>A</v>
      </c>
      <c r="P75">
        <f t="shared" si="21"/>
        <v>1</v>
      </c>
      <c r="Q75" t="str">
        <f t="shared" si="22"/>
        <v>L</v>
      </c>
      <c r="R75">
        <f t="shared" si="23"/>
        <v>15</v>
      </c>
      <c r="S75" s="4">
        <f t="shared" si="24"/>
        <v>1</v>
      </c>
      <c r="T75" s="4">
        <f t="shared" si="25"/>
        <v>1</v>
      </c>
      <c r="U75" t="str">
        <f t="shared" si="26"/>
        <v>C</v>
      </c>
      <c r="V75">
        <f t="shared" si="27"/>
        <v>3</v>
      </c>
      <c r="W75" t="str">
        <f t="shared" si="28"/>
        <v>R</v>
      </c>
      <c r="X75">
        <f t="shared" si="29"/>
        <v>22</v>
      </c>
      <c r="Y75" s="4">
        <f t="shared" si="30"/>
        <v>3</v>
      </c>
      <c r="Z75" t="str">
        <f t="shared" si="31"/>
        <v>2750113</v>
      </c>
      <c r="AA75" t="str">
        <f t="shared" si="32"/>
        <v xml:space="preserve">Doç.Dr. AYŞEGÜL CİĞER  </v>
      </c>
      <c r="AB75" t="str">
        <f t="shared" si="33"/>
        <v>2750113</v>
      </c>
    </row>
    <row r="76" spans="6:28" x14ac:dyDescent="0.45">
      <c r="F76" t="s">
        <v>246</v>
      </c>
      <c r="G76" t="s">
        <v>299</v>
      </c>
      <c r="H76" t="s">
        <v>300</v>
      </c>
      <c r="K76" s="4">
        <f t="shared" si="18"/>
        <v>2</v>
      </c>
      <c r="L76" s="4">
        <f t="shared" si="19"/>
        <v>5</v>
      </c>
      <c r="M76" s="4">
        <f t="shared" si="17"/>
        <v>5</v>
      </c>
      <c r="N76" s="4">
        <f t="shared" si="17"/>
        <v>0</v>
      </c>
      <c r="O76" t="str">
        <f t="shared" si="20"/>
        <v>Y</v>
      </c>
      <c r="P76">
        <f t="shared" si="21"/>
        <v>31</v>
      </c>
      <c r="Q76" t="str">
        <f t="shared" si="22"/>
        <v>S</v>
      </c>
      <c r="R76">
        <f t="shared" si="23"/>
        <v>23</v>
      </c>
      <c r="S76" s="4">
        <f t="shared" si="24"/>
        <v>3</v>
      </c>
      <c r="T76" s="4">
        <f t="shared" si="25"/>
        <v>2</v>
      </c>
      <c r="U76" t="str">
        <f t="shared" si="26"/>
        <v>K</v>
      </c>
      <c r="V76">
        <f t="shared" si="27"/>
        <v>14</v>
      </c>
      <c r="W76" t="str">
        <f t="shared" si="28"/>
        <v>Ç</v>
      </c>
      <c r="X76">
        <f t="shared" si="29"/>
        <v>4</v>
      </c>
      <c r="Y76" s="4">
        <f t="shared" si="30"/>
        <v>2</v>
      </c>
      <c r="Z76" t="str">
        <f t="shared" si="31"/>
        <v>2550322</v>
      </c>
      <c r="AA76" t="str">
        <f t="shared" si="32"/>
        <v xml:space="preserve">Doç.Dr. YUNUS KILIÇ  </v>
      </c>
      <c r="AB76" t="str">
        <f t="shared" si="33"/>
        <v>2550322</v>
      </c>
    </row>
    <row r="77" spans="6:28" x14ac:dyDescent="0.45">
      <c r="F77" t="s">
        <v>246</v>
      </c>
      <c r="G77" t="s">
        <v>268</v>
      </c>
      <c r="H77" t="s">
        <v>269</v>
      </c>
      <c r="K77" s="4">
        <f t="shared" si="18"/>
        <v>2</v>
      </c>
      <c r="L77" s="4">
        <f t="shared" si="19"/>
        <v>4</v>
      </c>
      <c r="M77" s="4">
        <f t="shared" si="17"/>
        <v>6</v>
      </c>
      <c r="N77" s="4">
        <f t="shared" si="17"/>
        <v>0</v>
      </c>
      <c r="O77" t="str">
        <f t="shared" si="20"/>
        <v>S</v>
      </c>
      <c r="P77">
        <f t="shared" si="21"/>
        <v>23</v>
      </c>
      <c r="Q77" t="str">
        <f t="shared" si="22"/>
        <v>A</v>
      </c>
      <c r="R77">
        <f t="shared" si="23"/>
        <v>1</v>
      </c>
      <c r="S77" s="4">
        <f t="shared" si="24"/>
        <v>2</v>
      </c>
      <c r="T77" s="4">
        <f t="shared" si="25"/>
        <v>1</v>
      </c>
      <c r="U77" t="str">
        <f t="shared" si="26"/>
        <v>S</v>
      </c>
      <c r="V77">
        <f t="shared" si="27"/>
        <v>23</v>
      </c>
      <c r="W77" t="str">
        <f t="shared" si="28"/>
        <v>Z</v>
      </c>
      <c r="X77">
        <f t="shared" si="29"/>
        <v>32</v>
      </c>
      <c r="Y77" s="4">
        <f t="shared" si="30"/>
        <v>7</v>
      </c>
      <c r="Z77" t="str">
        <f t="shared" si="31"/>
        <v>2460217</v>
      </c>
      <c r="AA77" t="str">
        <f t="shared" si="32"/>
        <v xml:space="preserve">Doç.Dr. SEDA SÖNMEZ  </v>
      </c>
      <c r="AB77" t="str">
        <f t="shared" si="33"/>
        <v>2460217</v>
      </c>
    </row>
    <row r="78" spans="6:28" x14ac:dyDescent="0.45">
      <c r="F78" t="s">
        <v>246</v>
      </c>
      <c r="G78" t="s">
        <v>274</v>
      </c>
      <c r="H78" t="s">
        <v>275</v>
      </c>
      <c r="K78" s="4">
        <f t="shared" si="18"/>
        <v>2</v>
      </c>
      <c r="L78" s="4">
        <f t="shared" si="19"/>
        <v>5</v>
      </c>
      <c r="M78" s="4">
        <f t="shared" si="17"/>
        <v>5</v>
      </c>
      <c r="N78" s="4">
        <f t="shared" si="17"/>
        <v>0</v>
      </c>
      <c r="O78" t="str">
        <f t="shared" si="20"/>
        <v>F</v>
      </c>
      <c r="P78">
        <f t="shared" si="21"/>
        <v>7</v>
      </c>
      <c r="Q78" t="str">
        <f t="shared" si="22"/>
        <v>Z</v>
      </c>
      <c r="R78">
        <f t="shared" si="23"/>
        <v>32</v>
      </c>
      <c r="S78" s="4">
        <f t="shared" si="24"/>
        <v>0</v>
      </c>
      <c r="T78" s="4">
        <f t="shared" si="25"/>
        <v>4</v>
      </c>
      <c r="U78" t="str">
        <f t="shared" si="26"/>
        <v>Y</v>
      </c>
      <c r="V78">
        <f t="shared" si="27"/>
        <v>31</v>
      </c>
      <c r="W78" t="str">
        <f t="shared" si="28"/>
        <v>Z</v>
      </c>
      <c r="X78">
        <f t="shared" si="29"/>
        <v>32</v>
      </c>
      <c r="Y78" s="4">
        <f t="shared" si="30"/>
        <v>2</v>
      </c>
      <c r="Z78" t="str">
        <f t="shared" si="31"/>
        <v>2550042</v>
      </c>
      <c r="AA78" t="str">
        <f t="shared" si="32"/>
        <v xml:space="preserve">Doç.Dr. FİLİZ YETİZ  </v>
      </c>
      <c r="AB78" t="str">
        <f t="shared" si="33"/>
        <v>2550042</v>
      </c>
    </row>
    <row r="79" spans="6:28" x14ac:dyDescent="0.45">
      <c r="F79" t="s">
        <v>246</v>
      </c>
      <c r="G79" t="s">
        <v>299</v>
      </c>
      <c r="H79" t="s">
        <v>300</v>
      </c>
      <c r="K79" s="4">
        <f t="shared" si="18"/>
        <v>2</v>
      </c>
      <c r="L79" s="4">
        <f t="shared" si="19"/>
        <v>5</v>
      </c>
      <c r="M79" s="4">
        <f t="shared" si="17"/>
        <v>5</v>
      </c>
      <c r="N79" s="4">
        <f t="shared" si="17"/>
        <v>0</v>
      </c>
      <c r="O79" t="str">
        <f t="shared" si="20"/>
        <v>Y</v>
      </c>
      <c r="P79">
        <f t="shared" si="21"/>
        <v>31</v>
      </c>
      <c r="Q79" t="str">
        <f t="shared" si="22"/>
        <v>S</v>
      </c>
      <c r="R79">
        <f t="shared" si="23"/>
        <v>23</v>
      </c>
      <c r="S79" s="4">
        <f t="shared" si="24"/>
        <v>3</v>
      </c>
      <c r="T79" s="4">
        <f t="shared" si="25"/>
        <v>2</v>
      </c>
      <c r="U79" t="str">
        <f t="shared" si="26"/>
        <v>K</v>
      </c>
      <c r="V79">
        <f t="shared" si="27"/>
        <v>14</v>
      </c>
      <c r="W79" t="str">
        <f t="shared" si="28"/>
        <v>Ç</v>
      </c>
      <c r="X79">
        <f t="shared" si="29"/>
        <v>4</v>
      </c>
      <c r="Y79" s="4">
        <f t="shared" si="30"/>
        <v>2</v>
      </c>
      <c r="Z79" t="str">
        <f t="shared" si="31"/>
        <v>2550322</v>
      </c>
      <c r="AA79" t="str">
        <f t="shared" si="32"/>
        <v xml:space="preserve">Doç.Dr. YUNUS KILIÇ  </v>
      </c>
      <c r="AB79" t="str">
        <f t="shared" si="33"/>
        <v>2550322</v>
      </c>
    </row>
    <row r="80" spans="6:28" x14ac:dyDescent="0.45">
      <c r="F80" t="s">
        <v>246</v>
      </c>
      <c r="G80" t="s">
        <v>261</v>
      </c>
      <c r="H80" t="s">
        <v>301</v>
      </c>
      <c r="K80" s="4">
        <f t="shared" si="18"/>
        <v>2</v>
      </c>
      <c r="L80" s="4">
        <f t="shared" si="19"/>
        <v>5</v>
      </c>
      <c r="M80" s="4">
        <f t="shared" si="17"/>
        <v>7</v>
      </c>
      <c r="N80" s="4">
        <f t="shared" si="17"/>
        <v>0</v>
      </c>
      <c r="O80" t="str">
        <f t="shared" si="20"/>
        <v>A</v>
      </c>
      <c r="P80">
        <f t="shared" si="21"/>
        <v>1</v>
      </c>
      <c r="Q80" t="str">
        <f t="shared" si="22"/>
        <v>T</v>
      </c>
      <c r="R80">
        <f t="shared" si="23"/>
        <v>25</v>
      </c>
      <c r="S80" s="4">
        <f t="shared" si="24"/>
        <v>1</v>
      </c>
      <c r="T80" s="4">
        <f t="shared" si="25"/>
        <v>4</v>
      </c>
      <c r="U80" t="str">
        <f t="shared" si="26"/>
        <v>T</v>
      </c>
      <c r="V80">
        <f t="shared" si="27"/>
        <v>25</v>
      </c>
      <c r="W80" t="str">
        <f t="shared" si="28"/>
        <v>N</v>
      </c>
      <c r="X80">
        <f t="shared" si="29"/>
        <v>17</v>
      </c>
      <c r="Y80" s="4">
        <f t="shared" si="30"/>
        <v>2</v>
      </c>
      <c r="Z80" t="str">
        <f t="shared" si="31"/>
        <v>2570142</v>
      </c>
      <c r="AA80" t="str">
        <f t="shared" si="32"/>
        <v xml:space="preserve">Doç.Dr. AHMET TÜRKMEN  </v>
      </c>
      <c r="AB80" t="str">
        <f t="shared" si="33"/>
        <v>2570142</v>
      </c>
    </row>
    <row r="81" spans="6:28" x14ac:dyDescent="0.45">
      <c r="F81" t="s">
        <v>246</v>
      </c>
      <c r="G81" t="s">
        <v>274</v>
      </c>
      <c r="H81" t="s">
        <v>275</v>
      </c>
      <c r="K81" s="4">
        <f t="shared" si="18"/>
        <v>2</v>
      </c>
      <c r="L81" s="4">
        <f t="shared" si="19"/>
        <v>5</v>
      </c>
      <c r="M81" s="4">
        <f t="shared" ref="M81:N144" si="34">IF(LEN(H81)&gt;=10,MOD(LEN(H81),10),LEN(H81))</f>
        <v>5</v>
      </c>
      <c r="N81" s="4">
        <f t="shared" si="34"/>
        <v>0</v>
      </c>
      <c r="O81" t="str">
        <f t="shared" si="20"/>
        <v>F</v>
      </c>
      <c r="P81">
        <f t="shared" si="21"/>
        <v>7</v>
      </c>
      <c r="Q81" t="str">
        <f t="shared" si="22"/>
        <v>Z</v>
      </c>
      <c r="R81">
        <f t="shared" si="23"/>
        <v>32</v>
      </c>
      <c r="S81" s="4">
        <f t="shared" si="24"/>
        <v>0</v>
      </c>
      <c r="T81" s="4">
        <f t="shared" si="25"/>
        <v>4</v>
      </c>
      <c r="U81" t="str">
        <f t="shared" si="26"/>
        <v>Y</v>
      </c>
      <c r="V81">
        <f t="shared" si="27"/>
        <v>31</v>
      </c>
      <c r="W81" t="str">
        <f t="shared" si="28"/>
        <v>Z</v>
      </c>
      <c r="X81">
        <f t="shared" si="29"/>
        <v>32</v>
      </c>
      <c r="Y81" s="4">
        <f t="shared" si="30"/>
        <v>2</v>
      </c>
      <c r="Z81" t="str">
        <f t="shared" si="31"/>
        <v>2550042</v>
      </c>
      <c r="AA81" t="str">
        <f t="shared" si="32"/>
        <v xml:space="preserve">Doç.Dr. FİLİZ YETİZ  </v>
      </c>
      <c r="AB81" t="str">
        <f t="shared" si="33"/>
        <v>2550042</v>
      </c>
    </row>
    <row r="82" spans="6:28" x14ac:dyDescent="0.45">
      <c r="F82" t="s">
        <v>246</v>
      </c>
      <c r="G82" t="s">
        <v>299</v>
      </c>
      <c r="H82" t="s">
        <v>300</v>
      </c>
      <c r="K82" s="4">
        <f t="shared" si="18"/>
        <v>2</v>
      </c>
      <c r="L82" s="4">
        <f t="shared" si="19"/>
        <v>5</v>
      </c>
      <c r="M82" s="4">
        <f t="shared" si="34"/>
        <v>5</v>
      </c>
      <c r="N82" s="4">
        <f t="shared" si="34"/>
        <v>0</v>
      </c>
      <c r="O82" t="str">
        <f t="shared" si="20"/>
        <v>Y</v>
      </c>
      <c r="P82">
        <f t="shared" si="21"/>
        <v>31</v>
      </c>
      <c r="Q82" t="str">
        <f t="shared" si="22"/>
        <v>S</v>
      </c>
      <c r="R82">
        <f t="shared" si="23"/>
        <v>23</v>
      </c>
      <c r="S82" s="4">
        <f t="shared" si="24"/>
        <v>3</v>
      </c>
      <c r="T82" s="4">
        <f t="shared" si="25"/>
        <v>2</v>
      </c>
      <c r="U82" t="str">
        <f t="shared" si="26"/>
        <v>K</v>
      </c>
      <c r="V82">
        <f t="shared" si="27"/>
        <v>14</v>
      </c>
      <c r="W82" t="str">
        <f t="shared" si="28"/>
        <v>Ç</v>
      </c>
      <c r="X82">
        <f t="shared" si="29"/>
        <v>4</v>
      </c>
      <c r="Y82" s="4">
        <f t="shared" si="30"/>
        <v>2</v>
      </c>
      <c r="Z82" t="str">
        <f t="shared" si="31"/>
        <v>2550322</v>
      </c>
      <c r="AA82" t="str">
        <f t="shared" si="32"/>
        <v xml:space="preserve">Doç.Dr. YUNUS KILIÇ  </v>
      </c>
      <c r="AB82" t="str">
        <f t="shared" si="33"/>
        <v>2550322</v>
      </c>
    </row>
    <row r="83" spans="6:28" x14ac:dyDescent="0.45">
      <c r="F83" t="s">
        <v>247</v>
      </c>
      <c r="G83" t="s">
        <v>302</v>
      </c>
      <c r="H83" t="s">
        <v>303</v>
      </c>
      <c r="I83" t="s">
        <v>304</v>
      </c>
      <c r="K83" s="4">
        <f t="shared" si="18"/>
        <v>3</v>
      </c>
      <c r="L83" s="4">
        <f t="shared" si="19"/>
        <v>6</v>
      </c>
      <c r="M83" s="4">
        <f t="shared" si="34"/>
        <v>5</v>
      </c>
      <c r="N83" s="4">
        <f t="shared" si="34"/>
        <v>5</v>
      </c>
      <c r="O83" t="str">
        <f t="shared" si="20"/>
        <v>H</v>
      </c>
      <c r="P83">
        <f t="shared" si="21"/>
        <v>10</v>
      </c>
      <c r="Q83" t="str">
        <f t="shared" si="22"/>
        <v>E</v>
      </c>
      <c r="R83">
        <f t="shared" si="23"/>
        <v>6</v>
      </c>
      <c r="S83" s="4">
        <f t="shared" si="24"/>
        <v>3</v>
      </c>
      <c r="T83" s="4">
        <f t="shared" si="25"/>
        <v>6</v>
      </c>
      <c r="U83" t="str">
        <f t="shared" si="26"/>
        <v>Ö</v>
      </c>
      <c r="V83">
        <f t="shared" si="27"/>
        <v>19</v>
      </c>
      <c r="W83" t="str">
        <f t="shared" si="28"/>
        <v>M</v>
      </c>
      <c r="X83">
        <f t="shared" si="29"/>
        <v>16</v>
      </c>
      <c r="Y83" s="4">
        <f t="shared" si="30"/>
        <v>7</v>
      </c>
      <c r="Z83" t="str">
        <f t="shared" si="31"/>
        <v>3655367</v>
      </c>
      <c r="AA83" t="str">
        <f t="shared" si="32"/>
        <v xml:space="preserve">Dr.Öğr.Üyesi HATİCE ÖZLEM YALAZ </v>
      </c>
      <c r="AB83" t="str">
        <f t="shared" si="33"/>
        <v>3655367</v>
      </c>
    </row>
    <row r="84" spans="6:28" x14ac:dyDescent="0.45">
      <c r="F84" t="s">
        <v>246</v>
      </c>
      <c r="G84" t="s">
        <v>261</v>
      </c>
      <c r="H84" t="s">
        <v>301</v>
      </c>
      <c r="K84" s="4">
        <f t="shared" si="18"/>
        <v>2</v>
      </c>
      <c r="L84" s="4">
        <f t="shared" si="19"/>
        <v>5</v>
      </c>
      <c r="M84" s="4">
        <f t="shared" si="34"/>
        <v>7</v>
      </c>
      <c r="N84" s="4">
        <f t="shared" si="34"/>
        <v>0</v>
      </c>
      <c r="O84" t="str">
        <f t="shared" si="20"/>
        <v>A</v>
      </c>
      <c r="P84">
        <f t="shared" si="21"/>
        <v>1</v>
      </c>
      <c r="Q84" t="str">
        <f t="shared" si="22"/>
        <v>T</v>
      </c>
      <c r="R84">
        <f t="shared" si="23"/>
        <v>25</v>
      </c>
      <c r="S84" s="4">
        <f t="shared" si="24"/>
        <v>1</v>
      </c>
      <c r="T84" s="4">
        <f t="shared" si="25"/>
        <v>4</v>
      </c>
      <c r="U84" t="str">
        <f t="shared" si="26"/>
        <v>T</v>
      </c>
      <c r="V84">
        <f t="shared" si="27"/>
        <v>25</v>
      </c>
      <c r="W84" t="str">
        <f t="shared" si="28"/>
        <v>N</v>
      </c>
      <c r="X84">
        <f t="shared" si="29"/>
        <v>17</v>
      </c>
      <c r="Y84" s="4">
        <f t="shared" si="30"/>
        <v>2</v>
      </c>
      <c r="Z84" t="str">
        <f t="shared" si="31"/>
        <v>2570142</v>
      </c>
      <c r="AA84" t="str">
        <f t="shared" si="32"/>
        <v xml:space="preserve">Doç.Dr. AHMET TÜRKMEN  </v>
      </c>
      <c r="AB84" t="str">
        <f t="shared" si="33"/>
        <v>2570142</v>
      </c>
    </row>
    <row r="85" spans="6:28" x14ac:dyDescent="0.45">
      <c r="F85" t="s">
        <v>248</v>
      </c>
      <c r="G85" t="s">
        <v>258</v>
      </c>
      <c r="H85" t="s">
        <v>259</v>
      </c>
      <c r="I85" t="s">
        <v>260</v>
      </c>
      <c r="K85" s="4">
        <f t="shared" si="18"/>
        <v>4</v>
      </c>
      <c r="L85" s="4">
        <f t="shared" si="19"/>
        <v>5</v>
      </c>
      <c r="M85" s="4">
        <f t="shared" si="34"/>
        <v>6</v>
      </c>
      <c r="N85" s="4">
        <f t="shared" si="34"/>
        <v>5</v>
      </c>
      <c r="O85" t="str">
        <f t="shared" si="20"/>
        <v>D</v>
      </c>
      <c r="P85">
        <f t="shared" si="21"/>
        <v>5</v>
      </c>
      <c r="Q85" t="str">
        <f t="shared" si="22"/>
        <v>U</v>
      </c>
      <c r="R85">
        <f t="shared" si="23"/>
        <v>26</v>
      </c>
      <c r="S85" s="4">
        <f t="shared" si="24"/>
        <v>5</v>
      </c>
      <c r="T85" s="4">
        <f t="shared" si="25"/>
        <v>5</v>
      </c>
      <c r="U85" t="str">
        <f t="shared" si="26"/>
        <v>T</v>
      </c>
      <c r="V85">
        <f t="shared" si="27"/>
        <v>25</v>
      </c>
      <c r="W85" t="str">
        <f t="shared" si="28"/>
        <v>T</v>
      </c>
      <c r="X85">
        <f t="shared" si="29"/>
        <v>25</v>
      </c>
      <c r="Y85" s="4">
        <f t="shared" si="30"/>
        <v>4</v>
      </c>
      <c r="Z85" t="str">
        <f t="shared" si="31"/>
        <v>4565554</v>
      </c>
      <c r="AA85" t="str">
        <f t="shared" si="32"/>
        <v xml:space="preserve">Öğr.Gör.Dr. DUYGU TURGUT GÜNEL </v>
      </c>
      <c r="AB85" t="str">
        <f t="shared" si="33"/>
        <v>4565554</v>
      </c>
    </row>
    <row r="86" spans="6:28" x14ac:dyDescent="0.45">
      <c r="F86" t="s">
        <v>246</v>
      </c>
      <c r="G86" t="s">
        <v>261</v>
      </c>
      <c r="H86" t="s">
        <v>301</v>
      </c>
      <c r="K86" s="4">
        <f t="shared" si="18"/>
        <v>2</v>
      </c>
      <c r="L86" s="4">
        <f t="shared" si="19"/>
        <v>5</v>
      </c>
      <c r="M86" s="4">
        <f t="shared" si="34"/>
        <v>7</v>
      </c>
      <c r="N86" s="4">
        <f t="shared" si="34"/>
        <v>0</v>
      </c>
      <c r="O86" t="str">
        <f t="shared" si="20"/>
        <v>A</v>
      </c>
      <c r="P86">
        <f t="shared" si="21"/>
        <v>1</v>
      </c>
      <c r="Q86" t="str">
        <f t="shared" si="22"/>
        <v>T</v>
      </c>
      <c r="R86">
        <f t="shared" si="23"/>
        <v>25</v>
      </c>
      <c r="S86" s="4">
        <f t="shared" si="24"/>
        <v>1</v>
      </c>
      <c r="T86" s="4">
        <f t="shared" si="25"/>
        <v>4</v>
      </c>
      <c r="U86" t="str">
        <f t="shared" si="26"/>
        <v>T</v>
      </c>
      <c r="V86">
        <f t="shared" si="27"/>
        <v>25</v>
      </c>
      <c r="W86" t="str">
        <f t="shared" si="28"/>
        <v>N</v>
      </c>
      <c r="X86">
        <f t="shared" si="29"/>
        <v>17</v>
      </c>
      <c r="Y86" s="4">
        <f t="shared" si="30"/>
        <v>2</v>
      </c>
      <c r="Z86" t="str">
        <f t="shared" si="31"/>
        <v>2570142</v>
      </c>
      <c r="AA86" t="str">
        <f t="shared" si="32"/>
        <v xml:space="preserve">Doç.Dr. AHMET TÜRKMEN  </v>
      </c>
      <c r="AB86" t="str">
        <f t="shared" si="33"/>
        <v>2570142</v>
      </c>
    </row>
    <row r="87" spans="6:28" x14ac:dyDescent="0.45">
      <c r="F87" t="s">
        <v>246</v>
      </c>
      <c r="G87" t="s">
        <v>274</v>
      </c>
      <c r="H87" t="s">
        <v>275</v>
      </c>
      <c r="K87" s="4">
        <f t="shared" si="18"/>
        <v>2</v>
      </c>
      <c r="L87" s="4">
        <f t="shared" si="19"/>
        <v>5</v>
      </c>
      <c r="M87" s="4">
        <f t="shared" si="34"/>
        <v>5</v>
      </c>
      <c r="N87" s="4">
        <f t="shared" si="34"/>
        <v>0</v>
      </c>
      <c r="O87" t="str">
        <f t="shared" si="20"/>
        <v>F</v>
      </c>
      <c r="P87">
        <f t="shared" si="21"/>
        <v>7</v>
      </c>
      <c r="Q87" t="str">
        <f t="shared" si="22"/>
        <v>Z</v>
      </c>
      <c r="R87">
        <f t="shared" si="23"/>
        <v>32</v>
      </c>
      <c r="S87" s="4">
        <f t="shared" si="24"/>
        <v>0</v>
      </c>
      <c r="T87" s="4">
        <f t="shared" si="25"/>
        <v>4</v>
      </c>
      <c r="U87" t="str">
        <f t="shared" si="26"/>
        <v>Y</v>
      </c>
      <c r="V87">
        <f t="shared" si="27"/>
        <v>31</v>
      </c>
      <c r="W87" t="str">
        <f t="shared" si="28"/>
        <v>Z</v>
      </c>
      <c r="X87">
        <f t="shared" si="29"/>
        <v>32</v>
      </c>
      <c r="Y87" s="4">
        <f t="shared" si="30"/>
        <v>2</v>
      </c>
      <c r="Z87" t="str">
        <f t="shared" si="31"/>
        <v>2550042</v>
      </c>
      <c r="AA87" t="str">
        <f t="shared" si="32"/>
        <v xml:space="preserve">Doç.Dr. FİLİZ YETİZ  </v>
      </c>
      <c r="AB87" t="str">
        <f t="shared" si="33"/>
        <v>2550042</v>
      </c>
    </row>
    <row r="88" spans="6:28" x14ac:dyDescent="0.45">
      <c r="F88" t="s">
        <v>247</v>
      </c>
      <c r="G88" t="s">
        <v>302</v>
      </c>
      <c r="H88" t="s">
        <v>303</v>
      </c>
      <c r="I88" t="s">
        <v>304</v>
      </c>
      <c r="K88" s="4">
        <f t="shared" si="18"/>
        <v>3</v>
      </c>
      <c r="L88" s="4">
        <f t="shared" si="19"/>
        <v>6</v>
      </c>
      <c r="M88" s="4">
        <f t="shared" si="34"/>
        <v>5</v>
      </c>
      <c r="N88" s="4">
        <f t="shared" si="34"/>
        <v>5</v>
      </c>
      <c r="O88" t="str">
        <f t="shared" si="20"/>
        <v>H</v>
      </c>
      <c r="P88">
        <f t="shared" si="21"/>
        <v>10</v>
      </c>
      <c r="Q88" t="str">
        <f t="shared" si="22"/>
        <v>E</v>
      </c>
      <c r="R88">
        <f t="shared" si="23"/>
        <v>6</v>
      </c>
      <c r="S88" s="4">
        <f t="shared" si="24"/>
        <v>3</v>
      </c>
      <c r="T88" s="4">
        <f t="shared" si="25"/>
        <v>6</v>
      </c>
      <c r="U88" t="str">
        <f t="shared" si="26"/>
        <v>Ö</v>
      </c>
      <c r="V88">
        <f t="shared" si="27"/>
        <v>19</v>
      </c>
      <c r="W88" t="str">
        <f t="shared" si="28"/>
        <v>M</v>
      </c>
      <c r="X88">
        <f t="shared" si="29"/>
        <v>16</v>
      </c>
      <c r="Y88" s="4">
        <f t="shared" si="30"/>
        <v>7</v>
      </c>
      <c r="Z88" t="str">
        <f t="shared" si="31"/>
        <v>3655367</v>
      </c>
      <c r="AA88" t="str">
        <f t="shared" si="32"/>
        <v xml:space="preserve">Dr.Öğr.Üyesi HATİCE ÖZLEM YALAZ </v>
      </c>
      <c r="AB88" t="str">
        <f t="shared" si="33"/>
        <v>3655367</v>
      </c>
    </row>
    <row r="89" spans="6:28" x14ac:dyDescent="0.45">
      <c r="F89" t="s">
        <v>249</v>
      </c>
      <c r="G89" t="s">
        <v>305</v>
      </c>
      <c r="H89" t="s">
        <v>306</v>
      </c>
      <c r="I89" t="s">
        <v>307</v>
      </c>
      <c r="K89" s="4">
        <f t="shared" si="18"/>
        <v>5</v>
      </c>
      <c r="L89" s="4">
        <f t="shared" si="19"/>
        <v>5</v>
      </c>
      <c r="M89" s="4">
        <f t="shared" si="34"/>
        <v>7</v>
      </c>
      <c r="N89" s="4">
        <f t="shared" si="34"/>
        <v>5</v>
      </c>
      <c r="O89" t="str">
        <f t="shared" si="20"/>
        <v>Ş</v>
      </c>
      <c r="P89">
        <f t="shared" si="21"/>
        <v>24</v>
      </c>
      <c r="Q89" t="str">
        <f t="shared" si="22"/>
        <v>Y</v>
      </c>
      <c r="R89">
        <f t="shared" si="23"/>
        <v>31</v>
      </c>
      <c r="S89" s="4">
        <f t="shared" si="24"/>
        <v>3</v>
      </c>
      <c r="T89" s="4">
        <f t="shared" si="25"/>
        <v>3</v>
      </c>
      <c r="U89" t="str">
        <f t="shared" si="26"/>
        <v>Ö</v>
      </c>
      <c r="V89">
        <f t="shared" si="27"/>
        <v>19</v>
      </c>
      <c r="W89" t="str">
        <f t="shared" si="28"/>
        <v>R</v>
      </c>
      <c r="X89">
        <f t="shared" si="29"/>
        <v>22</v>
      </c>
      <c r="Y89" s="4">
        <f t="shared" si="30"/>
        <v>4</v>
      </c>
      <c r="Z89" t="str">
        <f t="shared" si="31"/>
        <v>5575334</v>
      </c>
      <c r="AA89" t="str">
        <f t="shared" si="32"/>
        <v xml:space="preserve">Öğr.Gör. ŞENAY ÖZDEMİR ERSÖZ </v>
      </c>
      <c r="AB89" t="str">
        <f t="shared" si="33"/>
        <v>5575334</v>
      </c>
    </row>
    <row r="90" spans="6:28" x14ac:dyDescent="0.45">
      <c r="F90" t="s">
        <v>247</v>
      </c>
      <c r="G90" t="s">
        <v>302</v>
      </c>
      <c r="H90" t="s">
        <v>303</v>
      </c>
      <c r="I90" t="s">
        <v>304</v>
      </c>
      <c r="K90" s="4">
        <f t="shared" si="18"/>
        <v>3</v>
      </c>
      <c r="L90" s="4">
        <f t="shared" si="19"/>
        <v>6</v>
      </c>
      <c r="M90" s="4">
        <f t="shared" si="34"/>
        <v>5</v>
      </c>
      <c r="N90" s="4">
        <f t="shared" si="34"/>
        <v>5</v>
      </c>
      <c r="O90" t="str">
        <f t="shared" si="20"/>
        <v>H</v>
      </c>
      <c r="P90">
        <f t="shared" si="21"/>
        <v>10</v>
      </c>
      <c r="Q90" t="str">
        <f t="shared" si="22"/>
        <v>E</v>
      </c>
      <c r="R90">
        <f t="shared" si="23"/>
        <v>6</v>
      </c>
      <c r="S90" s="4">
        <f t="shared" si="24"/>
        <v>3</v>
      </c>
      <c r="T90" s="4">
        <f t="shared" si="25"/>
        <v>6</v>
      </c>
      <c r="U90" t="str">
        <f t="shared" si="26"/>
        <v>Ö</v>
      </c>
      <c r="V90">
        <f t="shared" si="27"/>
        <v>19</v>
      </c>
      <c r="W90" t="str">
        <f t="shared" si="28"/>
        <v>M</v>
      </c>
      <c r="X90">
        <f t="shared" si="29"/>
        <v>16</v>
      </c>
      <c r="Y90" s="4">
        <f t="shared" si="30"/>
        <v>7</v>
      </c>
      <c r="Z90" t="str">
        <f t="shared" si="31"/>
        <v>3655367</v>
      </c>
      <c r="AA90" t="str">
        <f t="shared" si="32"/>
        <v xml:space="preserve">Dr.Öğr.Üyesi HATİCE ÖZLEM YALAZ </v>
      </c>
      <c r="AB90" t="str">
        <f t="shared" si="33"/>
        <v>3655367</v>
      </c>
    </row>
    <row r="91" spans="6:28" x14ac:dyDescent="0.45">
      <c r="F91" t="s">
        <v>246</v>
      </c>
      <c r="G91" t="s">
        <v>261</v>
      </c>
      <c r="H91" t="s">
        <v>301</v>
      </c>
      <c r="K91" s="4">
        <f t="shared" si="18"/>
        <v>2</v>
      </c>
      <c r="L91" s="4">
        <f t="shared" si="19"/>
        <v>5</v>
      </c>
      <c r="M91" s="4">
        <f t="shared" si="34"/>
        <v>7</v>
      </c>
      <c r="N91" s="4">
        <f t="shared" si="34"/>
        <v>0</v>
      </c>
      <c r="O91" t="str">
        <f t="shared" si="20"/>
        <v>A</v>
      </c>
      <c r="P91">
        <f t="shared" si="21"/>
        <v>1</v>
      </c>
      <c r="Q91" t="str">
        <f t="shared" si="22"/>
        <v>T</v>
      </c>
      <c r="R91">
        <f t="shared" si="23"/>
        <v>25</v>
      </c>
      <c r="S91" s="4">
        <f t="shared" si="24"/>
        <v>1</v>
      </c>
      <c r="T91" s="4">
        <f t="shared" si="25"/>
        <v>4</v>
      </c>
      <c r="U91" t="str">
        <f t="shared" si="26"/>
        <v>T</v>
      </c>
      <c r="V91">
        <f t="shared" si="27"/>
        <v>25</v>
      </c>
      <c r="W91" t="str">
        <f t="shared" si="28"/>
        <v>N</v>
      </c>
      <c r="X91">
        <f t="shared" si="29"/>
        <v>17</v>
      </c>
      <c r="Y91" s="4">
        <f t="shared" si="30"/>
        <v>2</v>
      </c>
      <c r="Z91" t="str">
        <f t="shared" si="31"/>
        <v>2570142</v>
      </c>
      <c r="AA91" t="str">
        <f t="shared" si="32"/>
        <v xml:space="preserve">Doç.Dr. AHMET TÜRKMEN  </v>
      </c>
      <c r="AB91" t="str">
        <f t="shared" si="33"/>
        <v>2570142</v>
      </c>
    </row>
    <row r="92" spans="6:28" x14ac:dyDescent="0.45">
      <c r="F92" t="s">
        <v>246</v>
      </c>
      <c r="G92" t="s">
        <v>308</v>
      </c>
      <c r="H92" t="s">
        <v>309</v>
      </c>
      <c r="K92" s="4">
        <f t="shared" si="18"/>
        <v>2</v>
      </c>
      <c r="L92" s="4">
        <f t="shared" si="19"/>
        <v>4</v>
      </c>
      <c r="M92" s="4">
        <f t="shared" si="34"/>
        <v>6</v>
      </c>
      <c r="N92" s="4">
        <f t="shared" si="34"/>
        <v>0</v>
      </c>
      <c r="O92" t="str">
        <f t="shared" si="20"/>
        <v>N</v>
      </c>
      <c r="P92">
        <f t="shared" si="21"/>
        <v>17</v>
      </c>
      <c r="Q92" t="str">
        <f t="shared" si="22"/>
        <v>A</v>
      </c>
      <c r="R92">
        <f t="shared" si="23"/>
        <v>1</v>
      </c>
      <c r="S92" s="4">
        <f t="shared" si="24"/>
        <v>3</v>
      </c>
      <c r="T92" s="4">
        <f t="shared" si="25"/>
        <v>1</v>
      </c>
      <c r="U92" t="str">
        <f t="shared" si="26"/>
        <v>E</v>
      </c>
      <c r="V92">
        <f t="shared" si="27"/>
        <v>6</v>
      </c>
      <c r="W92" t="str">
        <f t="shared" si="28"/>
        <v>İ</v>
      </c>
      <c r="X92">
        <f t="shared" si="29"/>
        <v>12</v>
      </c>
      <c r="Y92" s="4">
        <f t="shared" si="30"/>
        <v>0</v>
      </c>
      <c r="Z92" t="str">
        <f t="shared" si="31"/>
        <v>2460310</v>
      </c>
      <c r="AA92" t="str">
        <f t="shared" si="32"/>
        <v xml:space="preserve">Doç.Dr. NİSA EKŞİLİ  </v>
      </c>
      <c r="AB92" t="str">
        <f t="shared" si="33"/>
        <v>2460310</v>
      </c>
    </row>
    <row r="93" spans="6:28" x14ac:dyDescent="0.45">
      <c r="F93" t="s">
        <v>246</v>
      </c>
      <c r="G93" t="s">
        <v>299</v>
      </c>
      <c r="H93" t="s">
        <v>300</v>
      </c>
      <c r="K93" s="4">
        <f t="shared" si="18"/>
        <v>2</v>
      </c>
      <c r="L93" s="4">
        <f t="shared" si="19"/>
        <v>5</v>
      </c>
      <c r="M93" s="4">
        <f t="shared" si="34"/>
        <v>5</v>
      </c>
      <c r="N93" s="4">
        <f t="shared" si="34"/>
        <v>0</v>
      </c>
      <c r="O93" t="str">
        <f t="shared" si="20"/>
        <v>Y</v>
      </c>
      <c r="P93">
        <f t="shared" si="21"/>
        <v>31</v>
      </c>
      <c r="Q93" t="str">
        <f t="shared" si="22"/>
        <v>S</v>
      </c>
      <c r="R93">
        <f t="shared" si="23"/>
        <v>23</v>
      </c>
      <c r="S93" s="4">
        <f t="shared" si="24"/>
        <v>3</v>
      </c>
      <c r="T93" s="4">
        <f t="shared" si="25"/>
        <v>2</v>
      </c>
      <c r="U93" t="str">
        <f t="shared" si="26"/>
        <v>K</v>
      </c>
      <c r="V93">
        <f t="shared" si="27"/>
        <v>14</v>
      </c>
      <c r="W93" t="str">
        <f t="shared" si="28"/>
        <v>Ç</v>
      </c>
      <c r="X93">
        <f t="shared" si="29"/>
        <v>4</v>
      </c>
      <c r="Y93" s="4">
        <f t="shared" si="30"/>
        <v>2</v>
      </c>
      <c r="Z93" t="str">
        <f t="shared" si="31"/>
        <v>2550322</v>
      </c>
      <c r="AA93" t="str">
        <f t="shared" si="32"/>
        <v xml:space="preserve">Doç.Dr. YUNUS KILIÇ  </v>
      </c>
      <c r="AB93" t="str">
        <f t="shared" si="33"/>
        <v>2550322</v>
      </c>
    </row>
    <row r="94" spans="6:28" x14ac:dyDescent="0.45">
      <c r="F94" t="s">
        <v>246</v>
      </c>
      <c r="G94" t="s">
        <v>261</v>
      </c>
      <c r="H94" t="s">
        <v>301</v>
      </c>
      <c r="K94" s="4">
        <f t="shared" si="18"/>
        <v>2</v>
      </c>
      <c r="L94" s="4">
        <f t="shared" si="19"/>
        <v>5</v>
      </c>
      <c r="M94" s="4">
        <f t="shared" si="34"/>
        <v>7</v>
      </c>
      <c r="N94" s="4">
        <f t="shared" si="34"/>
        <v>0</v>
      </c>
      <c r="O94" t="str">
        <f t="shared" si="20"/>
        <v>A</v>
      </c>
      <c r="P94">
        <f t="shared" si="21"/>
        <v>1</v>
      </c>
      <c r="Q94" t="str">
        <f t="shared" si="22"/>
        <v>T</v>
      </c>
      <c r="R94">
        <f t="shared" si="23"/>
        <v>25</v>
      </c>
      <c r="S94" s="4">
        <f t="shared" si="24"/>
        <v>1</v>
      </c>
      <c r="T94" s="4">
        <f t="shared" si="25"/>
        <v>4</v>
      </c>
      <c r="U94" t="str">
        <f t="shared" si="26"/>
        <v>T</v>
      </c>
      <c r="V94">
        <f t="shared" si="27"/>
        <v>25</v>
      </c>
      <c r="W94" t="str">
        <f t="shared" si="28"/>
        <v>N</v>
      </c>
      <c r="X94">
        <f t="shared" si="29"/>
        <v>17</v>
      </c>
      <c r="Y94" s="4">
        <f t="shared" si="30"/>
        <v>2</v>
      </c>
      <c r="Z94" t="str">
        <f t="shared" si="31"/>
        <v>2570142</v>
      </c>
      <c r="AA94" t="str">
        <f t="shared" si="32"/>
        <v xml:space="preserve">Doç.Dr. AHMET TÜRKMEN  </v>
      </c>
      <c r="AB94" t="str">
        <f t="shared" si="33"/>
        <v>2570142</v>
      </c>
    </row>
    <row r="95" spans="6:28" x14ac:dyDescent="0.45">
      <c r="F95" t="s">
        <v>246</v>
      </c>
      <c r="G95" t="s">
        <v>274</v>
      </c>
      <c r="H95" t="s">
        <v>275</v>
      </c>
      <c r="K95" s="4">
        <f t="shared" si="18"/>
        <v>2</v>
      </c>
      <c r="L95" s="4">
        <f t="shared" si="19"/>
        <v>5</v>
      </c>
      <c r="M95" s="4">
        <f t="shared" si="34"/>
        <v>5</v>
      </c>
      <c r="N95" s="4">
        <f t="shared" si="34"/>
        <v>0</v>
      </c>
      <c r="O95" t="str">
        <f t="shared" si="20"/>
        <v>F</v>
      </c>
      <c r="P95">
        <f t="shared" si="21"/>
        <v>7</v>
      </c>
      <c r="Q95" t="str">
        <f t="shared" si="22"/>
        <v>Z</v>
      </c>
      <c r="R95">
        <f t="shared" si="23"/>
        <v>32</v>
      </c>
      <c r="S95" s="4">
        <f t="shared" si="24"/>
        <v>0</v>
      </c>
      <c r="T95" s="4">
        <f t="shared" si="25"/>
        <v>4</v>
      </c>
      <c r="U95" t="str">
        <f t="shared" si="26"/>
        <v>Y</v>
      </c>
      <c r="V95">
        <f t="shared" si="27"/>
        <v>31</v>
      </c>
      <c r="W95" t="str">
        <f t="shared" si="28"/>
        <v>Z</v>
      </c>
      <c r="X95">
        <f t="shared" si="29"/>
        <v>32</v>
      </c>
      <c r="Y95" s="4">
        <f t="shared" si="30"/>
        <v>2</v>
      </c>
      <c r="Z95" t="str">
        <f t="shared" si="31"/>
        <v>2550042</v>
      </c>
      <c r="AA95" t="str">
        <f t="shared" si="32"/>
        <v xml:space="preserve">Doç.Dr. FİLİZ YETİZ  </v>
      </c>
      <c r="AB95" t="str">
        <f t="shared" si="33"/>
        <v>2550042</v>
      </c>
    </row>
    <row r="96" spans="6:28" x14ac:dyDescent="0.45">
      <c r="F96" t="s">
        <v>249</v>
      </c>
      <c r="G96" t="s">
        <v>310</v>
      </c>
      <c r="H96" t="s">
        <v>311</v>
      </c>
      <c r="I96" t="s">
        <v>312</v>
      </c>
      <c r="K96" s="4">
        <f t="shared" si="18"/>
        <v>5</v>
      </c>
      <c r="L96" s="4">
        <f t="shared" si="19"/>
        <v>5</v>
      </c>
      <c r="M96" s="4">
        <f t="shared" si="34"/>
        <v>6</v>
      </c>
      <c r="N96" s="4">
        <f t="shared" si="34"/>
        <v>9</v>
      </c>
      <c r="O96" t="str">
        <f t="shared" si="20"/>
        <v>B</v>
      </c>
      <c r="P96">
        <f t="shared" si="21"/>
        <v>2</v>
      </c>
      <c r="Q96" t="str">
        <f t="shared" si="22"/>
        <v>İ</v>
      </c>
      <c r="R96">
        <f t="shared" si="23"/>
        <v>12</v>
      </c>
      <c r="S96" s="4">
        <f t="shared" si="24"/>
        <v>2</v>
      </c>
      <c r="T96" s="4">
        <f t="shared" si="25"/>
        <v>5</v>
      </c>
      <c r="U96" t="str">
        <f t="shared" si="26"/>
        <v>K</v>
      </c>
      <c r="V96">
        <f t="shared" si="27"/>
        <v>14</v>
      </c>
      <c r="W96" t="str">
        <f t="shared" si="28"/>
        <v>L</v>
      </c>
      <c r="X96">
        <f t="shared" si="29"/>
        <v>15</v>
      </c>
      <c r="Y96" s="4">
        <f t="shared" si="30"/>
        <v>3</v>
      </c>
      <c r="Z96" t="str">
        <f t="shared" si="31"/>
        <v>5569253</v>
      </c>
      <c r="AA96" t="str">
        <f t="shared" si="32"/>
        <v xml:space="preserve">Öğr.Gör. BENGİ KÜMBÜL UZUNSAKAL </v>
      </c>
      <c r="AB96" t="str">
        <f t="shared" si="33"/>
        <v>5569253</v>
      </c>
    </row>
    <row r="97" spans="6:28" x14ac:dyDescent="0.45">
      <c r="F97" t="s">
        <v>249</v>
      </c>
      <c r="G97" t="s">
        <v>313</v>
      </c>
      <c r="H97" t="s">
        <v>314</v>
      </c>
      <c r="K97" s="4">
        <f t="shared" si="18"/>
        <v>5</v>
      </c>
      <c r="L97" s="4">
        <f t="shared" si="19"/>
        <v>5</v>
      </c>
      <c r="M97" s="4">
        <f t="shared" si="34"/>
        <v>4</v>
      </c>
      <c r="N97" s="4">
        <f t="shared" si="34"/>
        <v>0</v>
      </c>
      <c r="O97" t="str">
        <f t="shared" si="20"/>
        <v>T</v>
      </c>
      <c r="P97">
        <f t="shared" si="21"/>
        <v>25</v>
      </c>
      <c r="Q97" t="str">
        <f t="shared" si="22"/>
        <v>A</v>
      </c>
      <c r="R97">
        <f t="shared" si="23"/>
        <v>1</v>
      </c>
      <c r="S97" s="4">
        <f t="shared" si="24"/>
        <v>4</v>
      </c>
      <c r="T97" s="4">
        <f t="shared" si="25"/>
        <v>1</v>
      </c>
      <c r="U97" t="str">
        <f t="shared" si="26"/>
        <v>T</v>
      </c>
      <c r="V97">
        <f t="shared" si="27"/>
        <v>25</v>
      </c>
      <c r="W97" t="str">
        <f t="shared" si="28"/>
        <v>Ç</v>
      </c>
      <c r="X97">
        <f t="shared" si="29"/>
        <v>4</v>
      </c>
      <c r="Y97" s="4">
        <f t="shared" si="30"/>
        <v>1</v>
      </c>
      <c r="Z97" t="str">
        <f t="shared" si="31"/>
        <v>5540411</v>
      </c>
      <c r="AA97" t="str">
        <f t="shared" si="32"/>
        <v xml:space="preserve">Öğr.Gör. TALHA TUNÇ  </v>
      </c>
      <c r="AB97" t="str">
        <f t="shared" si="33"/>
        <v>5540411</v>
      </c>
    </row>
    <row r="98" spans="6:28" x14ac:dyDescent="0.45">
      <c r="F98" t="s">
        <v>247</v>
      </c>
      <c r="G98" t="s">
        <v>252</v>
      </c>
      <c r="H98" t="s">
        <v>253</v>
      </c>
      <c r="K98" s="4">
        <f t="shared" si="18"/>
        <v>3</v>
      </c>
      <c r="L98" s="4">
        <f t="shared" si="19"/>
        <v>7</v>
      </c>
      <c r="M98" s="4">
        <f t="shared" si="34"/>
        <v>5</v>
      </c>
      <c r="N98" s="4">
        <f t="shared" si="34"/>
        <v>0</v>
      </c>
      <c r="O98" t="str">
        <f t="shared" si="20"/>
        <v>H</v>
      </c>
      <c r="P98">
        <f t="shared" si="21"/>
        <v>10</v>
      </c>
      <c r="Q98" t="str">
        <f t="shared" si="22"/>
        <v>N</v>
      </c>
      <c r="R98">
        <f t="shared" si="23"/>
        <v>17</v>
      </c>
      <c r="S98" s="4">
        <f t="shared" si="24"/>
        <v>3</v>
      </c>
      <c r="T98" s="4">
        <f t="shared" si="25"/>
        <v>3</v>
      </c>
      <c r="U98" t="str">
        <f t="shared" si="26"/>
        <v>T</v>
      </c>
      <c r="V98">
        <f t="shared" si="27"/>
        <v>25</v>
      </c>
      <c r="W98" t="str">
        <f t="shared" si="28"/>
        <v>Z</v>
      </c>
      <c r="X98">
        <f t="shared" si="29"/>
        <v>32</v>
      </c>
      <c r="Y98" s="4">
        <f t="shared" si="30"/>
        <v>8</v>
      </c>
      <c r="Z98" t="str">
        <f t="shared" si="31"/>
        <v>3750338</v>
      </c>
      <c r="AA98" t="str">
        <f t="shared" si="32"/>
        <v xml:space="preserve">Dr.Öğr.Üyesi Hüseyin TOPUZ  </v>
      </c>
      <c r="AB98" t="str">
        <f t="shared" si="33"/>
        <v>3750338</v>
      </c>
    </row>
    <row r="99" spans="6:28" x14ac:dyDescent="0.45">
      <c r="F99" t="s">
        <v>245</v>
      </c>
      <c r="G99" t="s">
        <v>315</v>
      </c>
      <c r="H99" t="s">
        <v>316</v>
      </c>
      <c r="K99" s="4">
        <f t="shared" si="18"/>
        <v>1</v>
      </c>
      <c r="L99" s="4">
        <f t="shared" si="19"/>
        <v>7</v>
      </c>
      <c r="M99" s="4">
        <f t="shared" si="34"/>
        <v>8</v>
      </c>
      <c r="N99" s="4">
        <f t="shared" si="34"/>
        <v>0</v>
      </c>
      <c r="O99" t="str">
        <f t="shared" si="20"/>
        <v>R</v>
      </c>
      <c r="P99">
        <f t="shared" si="21"/>
        <v>22</v>
      </c>
      <c r="Q99" t="str">
        <f t="shared" si="22"/>
        <v>N</v>
      </c>
      <c r="R99">
        <f t="shared" si="23"/>
        <v>17</v>
      </c>
      <c r="S99" s="4">
        <f t="shared" si="24"/>
        <v>1</v>
      </c>
      <c r="T99" s="4">
        <f t="shared" si="25"/>
        <v>3</v>
      </c>
      <c r="U99" t="str">
        <f t="shared" si="26"/>
        <v>E</v>
      </c>
      <c r="V99">
        <f t="shared" si="27"/>
        <v>6</v>
      </c>
      <c r="W99" t="str">
        <f t="shared" si="28"/>
        <v>T</v>
      </c>
      <c r="X99">
        <f t="shared" si="29"/>
        <v>25</v>
      </c>
      <c r="Y99" s="4">
        <f t="shared" si="30"/>
        <v>6</v>
      </c>
      <c r="Z99" t="str">
        <f t="shared" si="31"/>
        <v>1780136</v>
      </c>
      <c r="AA99" t="str">
        <f t="shared" si="32"/>
        <v xml:space="preserve">Prof.Dr. RAMAZAN ERTURGUT  </v>
      </c>
      <c r="AB99" t="str">
        <f t="shared" si="33"/>
        <v>1780136</v>
      </c>
    </row>
    <row r="100" spans="6:28" x14ac:dyDescent="0.45">
      <c r="F100" t="s">
        <v>250</v>
      </c>
      <c r="G100" t="s">
        <v>317</v>
      </c>
      <c r="H100" t="s">
        <v>318</v>
      </c>
      <c r="I100" t="s">
        <v>319</v>
      </c>
      <c r="K100" s="4">
        <f t="shared" si="18"/>
        <v>6</v>
      </c>
      <c r="L100" s="4">
        <f t="shared" si="19"/>
        <v>5</v>
      </c>
      <c r="M100" s="4">
        <f t="shared" si="34"/>
        <v>4</v>
      </c>
      <c r="N100" s="4">
        <f t="shared" si="34"/>
        <v>6</v>
      </c>
      <c r="O100" t="str">
        <f t="shared" si="20"/>
        <v>A</v>
      </c>
      <c r="P100">
        <f t="shared" si="21"/>
        <v>1</v>
      </c>
      <c r="Q100" t="str">
        <f t="shared" si="22"/>
        <v>Ğ</v>
      </c>
      <c r="R100">
        <f t="shared" si="23"/>
        <v>9</v>
      </c>
      <c r="S100" s="4">
        <f t="shared" si="24"/>
        <v>1</v>
      </c>
      <c r="T100" s="4">
        <f t="shared" si="25"/>
        <v>2</v>
      </c>
      <c r="U100" t="str">
        <f t="shared" si="26"/>
        <v>E</v>
      </c>
      <c r="V100">
        <f t="shared" si="27"/>
        <v>6</v>
      </c>
      <c r="W100" t="str">
        <f t="shared" si="28"/>
        <v>N</v>
      </c>
      <c r="X100">
        <f t="shared" si="29"/>
        <v>17</v>
      </c>
      <c r="Y100" s="4">
        <f t="shared" si="30"/>
        <v>3</v>
      </c>
      <c r="Z100" t="str">
        <f t="shared" si="31"/>
        <v>6546123</v>
      </c>
      <c r="AA100" t="str">
        <f t="shared" si="32"/>
        <v xml:space="preserve">Arş.Gör.Dr. ARTUĞ EREN COŞKUN </v>
      </c>
      <c r="AB100" t="str">
        <f t="shared" si="33"/>
        <v>6546123</v>
      </c>
    </row>
    <row r="101" spans="6:28" x14ac:dyDescent="0.45">
      <c r="F101" t="s">
        <v>245</v>
      </c>
      <c r="G101" t="s">
        <v>320</v>
      </c>
      <c r="H101" t="s">
        <v>321</v>
      </c>
      <c r="K101" s="4">
        <f t="shared" si="18"/>
        <v>1</v>
      </c>
      <c r="L101" s="4">
        <f t="shared" si="19"/>
        <v>7</v>
      </c>
      <c r="M101" s="4">
        <f t="shared" si="34"/>
        <v>0</v>
      </c>
      <c r="N101" s="4">
        <f t="shared" si="34"/>
        <v>0</v>
      </c>
      <c r="O101" t="str">
        <f t="shared" si="20"/>
        <v>F</v>
      </c>
      <c r="P101">
        <f t="shared" si="21"/>
        <v>7</v>
      </c>
      <c r="Q101" t="str">
        <f t="shared" si="22"/>
        <v>E</v>
      </c>
      <c r="R101">
        <f t="shared" si="23"/>
        <v>6</v>
      </c>
      <c r="S101" s="4">
        <f t="shared" si="24"/>
        <v>0</v>
      </c>
      <c r="T101" s="4">
        <f t="shared" si="25"/>
        <v>6</v>
      </c>
      <c r="U101" t="str">
        <f t="shared" si="26"/>
        <v>M</v>
      </c>
      <c r="V101">
        <f t="shared" si="27"/>
        <v>16</v>
      </c>
      <c r="W101" t="str">
        <f t="shared" si="28"/>
        <v>İ</v>
      </c>
      <c r="X101">
        <f t="shared" si="29"/>
        <v>12</v>
      </c>
      <c r="Y101" s="4">
        <f t="shared" si="30"/>
        <v>3</v>
      </c>
      <c r="Z101" t="str">
        <f t="shared" si="31"/>
        <v>1700063</v>
      </c>
      <c r="AA101" t="str">
        <f t="shared" si="32"/>
        <v xml:space="preserve">Prof.Dr. FAHRİYE MERDİVENCİ  </v>
      </c>
      <c r="AB101" t="str">
        <f t="shared" si="33"/>
        <v>1700063</v>
      </c>
    </row>
    <row r="102" spans="6:28" x14ac:dyDescent="0.45">
      <c r="F102" t="s">
        <v>246</v>
      </c>
      <c r="G102" t="s">
        <v>322</v>
      </c>
      <c r="H102" t="s">
        <v>323</v>
      </c>
      <c r="I102" t="s">
        <v>324</v>
      </c>
      <c r="K102" s="4">
        <f t="shared" si="18"/>
        <v>2</v>
      </c>
      <c r="L102" s="4">
        <f t="shared" si="19"/>
        <v>5</v>
      </c>
      <c r="M102" s="4">
        <f t="shared" si="34"/>
        <v>6</v>
      </c>
      <c r="N102" s="4">
        <f t="shared" si="34"/>
        <v>4</v>
      </c>
      <c r="O102" t="str">
        <f t="shared" si="20"/>
        <v>A</v>
      </c>
      <c r="P102">
        <f t="shared" si="21"/>
        <v>1</v>
      </c>
      <c r="Q102" t="str">
        <f t="shared" si="22"/>
        <v>E</v>
      </c>
      <c r="R102">
        <f t="shared" si="23"/>
        <v>6</v>
      </c>
      <c r="S102" s="4">
        <f t="shared" si="24"/>
        <v>1</v>
      </c>
      <c r="T102" s="4">
        <f t="shared" si="25"/>
        <v>6</v>
      </c>
      <c r="U102" t="str">
        <f t="shared" si="26"/>
        <v>B</v>
      </c>
      <c r="V102">
        <f t="shared" si="27"/>
        <v>2</v>
      </c>
      <c r="W102" t="str">
        <f t="shared" si="28"/>
        <v>N</v>
      </c>
      <c r="X102">
        <f t="shared" si="29"/>
        <v>17</v>
      </c>
      <c r="Y102" s="4">
        <f t="shared" si="30"/>
        <v>7</v>
      </c>
      <c r="Z102" t="str">
        <f t="shared" si="31"/>
        <v>2564167</v>
      </c>
      <c r="AA102" t="str">
        <f t="shared" si="32"/>
        <v xml:space="preserve">Doç.Dr. ATİYE BEYHAN AKAY </v>
      </c>
      <c r="AB102" t="str">
        <f t="shared" si="33"/>
        <v>2564167</v>
      </c>
    </row>
    <row r="103" spans="6:28" x14ac:dyDescent="0.45">
      <c r="F103" t="s">
        <v>250</v>
      </c>
      <c r="G103" t="s">
        <v>317</v>
      </c>
      <c r="H103" t="s">
        <v>318</v>
      </c>
      <c r="I103" t="s">
        <v>319</v>
      </c>
      <c r="K103" s="4">
        <f t="shared" si="18"/>
        <v>6</v>
      </c>
      <c r="L103" s="4">
        <f t="shared" si="19"/>
        <v>5</v>
      </c>
      <c r="M103" s="4">
        <f t="shared" si="34"/>
        <v>4</v>
      </c>
      <c r="N103" s="4">
        <f t="shared" si="34"/>
        <v>6</v>
      </c>
      <c r="O103" t="str">
        <f t="shared" si="20"/>
        <v>A</v>
      </c>
      <c r="P103">
        <f t="shared" si="21"/>
        <v>1</v>
      </c>
      <c r="Q103" t="str">
        <f t="shared" si="22"/>
        <v>Ğ</v>
      </c>
      <c r="R103">
        <f t="shared" si="23"/>
        <v>9</v>
      </c>
      <c r="S103" s="4">
        <f t="shared" si="24"/>
        <v>1</v>
      </c>
      <c r="T103" s="4">
        <f t="shared" si="25"/>
        <v>2</v>
      </c>
      <c r="U103" t="str">
        <f t="shared" si="26"/>
        <v>E</v>
      </c>
      <c r="V103">
        <f t="shared" si="27"/>
        <v>6</v>
      </c>
      <c r="W103" t="str">
        <f t="shared" si="28"/>
        <v>N</v>
      </c>
      <c r="X103">
        <f t="shared" si="29"/>
        <v>17</v>
      </c>
      <c r="Y103" s="4">
        <f t="shared" si="30"/>
        <v>3</v>
      </c>
      <c r="Z103" t="str">
        <f t="shared" si="31"/>
        <v>6546123</v>
      </c>
      <c r="AA103" t="str">
        <f t="shared" si="32"/>
        <v xml:space="preserve">Arş.Gör.Dr. ARTUĞ EREN COŞKUN </v>
      </c>
      <c r="AB103" t="str">
        <f t="shared" si="33"/>
        <v>6546123</v>
      </c>
    </row>
    <row r="104" spans="6:28" x14ac:dyDescent="0.45">
      <c r="F104" t="s">
        <v>246</v>
      </c>
      <c r="G104" t="s">
        <v>254</v>
      </c>
      <c r="H104" t="s">
        <v>255</v>
      </c>
      <c r="K104" s="4">
        <f t="shared" si="18"/>
        <v>2</v>
      </c>
      <c r="L104" s="4">
        <f t="shared" si="19"/>
        <v>7</v>
      </c>
      <c r="M104" s="4">
        <f t="shared" si="34"/>
        <v>5</v>
      </c>
      <c r="N104" s="4">
        <f t="shared" si="34"/>
        <v>0</v>
      </c>
      <c r="O104" t="str">
        <f t="shared" si="20"/>
        <v>A</v>
      </c>
      <c r="P104">
        <f t="shared" si="21"/>
        <v>1</v>
      </c>
      <c r="Q104" t="str">
        <f t="shared" si="22"/>
        <v>L</v>
      </c>
      <c r="R104">
        <f t="shared" si="23"/>
        <v>15</v>
      </c>
      <c r="S104" s="4">
        <f t="shared" si="24"/>
        <v>1</v>
      </c>
      <c r="T104" s="4">
        <f t="shared" si="25"/>
        <v>1</v>
      </c>
      <c r="U104" t="str">
        <f t="shared" si="26"/>
        <v>C</v>
      </c>
      <c r="V104">
        <f t="shared" si="27"/>
        <v>3</v>
      </c>
      <c r="W104" t="str">
        <f t="shared" si="28"/>
        <v>R</v>
      </c>
      <c r="X104">
        <f t="shared" si="29"/>
        <v>22</v>
      </c>
      <c r="Y104" s="4">
        <f t="shared" si="30"/>
        <v>3</v>
      </c>
      <c r="Z104" t="str">
        <f t="shared" si="31"/>
        <v>2750113</v>
      </c>
      <c r="AA104" t="str">
        <f t="shared" si="32"/>
        <v xml:space="preserve">Doç.Dr. AYŞEGÜL CİĞER  </v>
      </c>
      <c r="AB104" t="str">
        <f t="shared" si="33"/>
        <v>2750113</v>
      </c>
    </row>
    <row r="105" spans="6:28" x14ac:dyDescent="0.45">
      <c r="F105" t="s">
        <v>246</v>
      </c>
      <c r="G105" t="s">
        <v>295</v>
      </c>
      <c r="H105" t="s">
        <v>296</v>
      </c>
      <c r="K105" s="4">
        <f t="shared" si="18"/>
        <v>2</v>
      </c>
      <c r="L105" s="4">
        <f t="shared" si="19"/>
        <v>5</v>
      </c>
      <c r="M105" s="4">
        <f t="shared" si="34"/>
        <v>1</v>
      </c>
      <c r="N105" s="4">
        <f t="shared" si="34"/>
        <v>0</v>
      </c>
      <c r="O105" t="str">
        <f t="shared" si="20"/>
        <v>H</v>
      </c>
      <c r="P105">
        <f t="shared" si="21"/>
        <v>10</v>
      </c>
      <c r="Q105" t="str">
        <f t="shared" si="22"/>
        <v>L</v>
      </c>
      <c r="R105">
        <f t="shared" si="23"/>
        <v>15</v>
      </c>
      <c r="S105" s="4">
        <f t="shared" si="24"/>
        <v>3</v>
      </c>
      <c r="T105" s="4">
        <f t="shared" si="25"/>
        <v>1</v>
      </c>
      <c r="U105" t="str">
        <f t="shared" si="26"/>
        <v>Ö</v>
      </c>
      <c r="V105">
        <f t="shared" si="27"/>
        <v>19</v>
      </c>
      <c r="W105" t="str">
        <f t="shared" si="28"/>
        <v>U</v>
      </c>
      <c r="X105">
        <f t="shared" si="29"/>
        <v>26</v>
      </c>
      <c r="Y105" s="4">
        <f t="shared" si="30"/>
        <v>8</v>
      </c>
      <c r="Z105" t="str">
        <f t="shared" si="31"/>
        <v>2510318</v>
      </c>
      <c r="AA105" t="str">
        <f t="shared" si="32"/>
        <v xml:space="preserve">Doç.Dr. HALİL ÖZEKİCİOĞLU  </v>
      </c>
      <c r="AB105" t="str">
        <f t="shared" si="33"/>
        <v>2510318</v>
      </c>
    </row>
    <row r="106" spans="6:28" x14ac:dyDescent="0.45">
      <c r="F106" t="s">
        <v>248</v>
      </c>
      <c r="G106" t="s">
        <v>325</v>
      </c>
      <c r="H106" t="s">
        <v>326</v>
      </c>
      <c r="K106" s="4">
        <f t="shared" si="18"/>
        <v>4</v>
      </c>
      <c r="L106" s="4">
        <f t="shared" si="19"/>
        <v>5</v>
      </c>
      <c r="M106" s="4">
        <f t="shared" si="34"/>
        <v>5</v>
      </c>
      <c r="N106" s="4">
        <f t="shared" si="34"/>
        <v>0</v>
      </c>
      <c r="O106" t="str">
        <f t="shared" si="20"/>
        <v>O</v>
      </c>
      <c r="P106">
        <f t="shared" si="21"/>
        <v>18</v>
      </c>
      <c r="Q106" t="str">
        <f t="shared" si="22"/>
        <v>N</v>
      </c>
      <c r="R106">
        <f t="shared" si="23"/>
        <v>17</v>
      </c>
      <c r="S106" s="4">
        <f t="shared" si="24"/>
        <v>4</v>
      </c>
      <c r="T106" s="4">
        <f t="shared" si="25"/>
        <v>3</v>
      </c>
      <c r="U106" t="str">
        <f t="shared" si="26"/>
        <v>Y</v>
      </c>
      <c r="V106">
        <f t="shared" si="27"/>
        <v>31</v>
      </c>
      <c r="W106" t="str">
        <f t="shared" si="28"/>
        <v>T</v>
      </c>
      <c r="X106">
        <f t="shared" si="29"/>
        <v>25</v>
      </c>
      <c r="Y106" s="4">
        <f t="shared" si="30"/>
        <v>1</v>
      </c>
      <c r="Z106" t="str">
        <f t="shared" si="31"/>
        <v>4550431</v>
      </c>
      <c r="AA106" t="str">
        <f t="shared" si="32"/>
        <v xml:space="preserve">Öğr.Gör.Dr. OSMAN YAKIT  </v>
      </c>
      <c r="AB106" t="str">
        <f t="shared" si="33"/>
        <v>4550431</v>
      </c>
    </row>
    <row r="107" spans="6:28" x14ac:dyDescent="0.45">
      <c r="F107" t="s">
        <v>248</v>
      </c>
      <c r="G107" t="s">
        <v>327</v>
      </c>
      <c r="H107" t="s">
        <v>328</v>
      </c>
      <c r="K107" s="4">
        <f t="shared" si="18"/>
        <v>4</v>
      </c>
      <c r="L107" s="4">
        <f t="shared" si="19"/>
        <v>6</v>
      </c>
      <c r="M107" s="4">
        <f t="shared" si="34"/>
        <v>7</v>
      </c>
      <c r="N107" s="4">
        <f t="shared" si="34"/>
        <v>0</v>
      </c>
      <c r="O107" t="str">
        <f t="shared" si="20"/>
        <v>İ</v>
      </c>
      <c r="P107">
        <f t="shared" si="21"/>
        <v>12</v>
      </c>
      <c r="Q107" t="str">
        <f t="shared" si="22"/>
        <v>L</v>
      </c>
      <c r="R107">
        <f t="shared" si="23"/>
        <v>15</v>
      </c>
      <c r="S107" s="4">
        <f t="shared" si="24"/>
        <v>5</v>
      </c>
      <c r="T107" s="4">
        <f t="shared" si="25"/>
        <v>1</v>
      </c>
      <c r="U107" t="str">
        <f t="shared" si="26"/>
        <v>K</v>
      </c>
      <c r="V107">
        <f t="shared" si="27"/>
        <v>14</v>
      </c>
      <c r="W107" t="str">
        <f t="shared" si="28"/>
        <v>N</v>
      </c>
      <c r="X107">
        <f t="shared" si="29"/>
        <v>17</v>
      </c>
      <c r="Y107" s="4">
        <f t="shared" si="30"/>
        <v>4</v>
      </c>
      <c r="Z107" t="str">
        <f t="shared" si="31"/>
        <v>4670514</v>
      </c>
      <c r="AA107" t="str">
        <f t="shared" si="32"/>
        <v xml:space="preserve">Öğr.Gör.Dr. İsmail KARAYÜN  </v>
      </c>
      <c r="AB107" t="str">
        <f t="shared" si="33"/>
        <v>4670514</v>
      </c>
    </row>
    <row r="108" spans="6:28" x14ac:dyDescent="0.45">
      <c r="F108" t="s">
        <v>245</v>
      </c>
      <c r="G108" t="s">
        <v>329</v>
      </c>
      <c r="H108" t="s">
        <v>330</v>
      </c>
      <c r="I108" t="s">
        <v>331</v>
      </c>
      <c r="K108" s="4">
        <f t="shared" si="18"/>
        <v>1</v>
      </c>
      <c r="L108" s="4">
        <f t="shared" si="19"/>
        <v>6</v>
      </c>
      <c r="M108" s="4">
        <f t="shared" si="34"/>
        <v>5</v>
      </c>
      <c r="N108" s="4">
        <f t="shared" si="34"/>
        <v>2</v>
      </c>
      <c r="O108" t="str">
        <f t="shared" si="20"/>
        <v>Ş</v>
      </c>
      <c r="P108">
        <f t="shared" si="21"/>
        <v>24</v>
      </c>
      <c r="Q108" t="str">
        <f t="shared" si="22"/>
        <v>E</v>
      </c>
      <c r="R108">
        <f t="shared" si="23"/>
        <v>6</v>
      </c>
      <c r="S108" s="4">
        <f t="shared" si="24"/>
        <v>3</v>
      </c>
      <c r="T108" s="4">
        <f t="shared" si="25"/>
        <v>6</v>
      </c>
      <c r="U108" t="str">
        <f t="shared" si="26"/>
        <v>G</v>
      </c>
      <c r="V108">
        <f t="shared" si="27"/>
        <v>8</v>
      </c>
      <c r="W108" t="str">
        <f t="shared" si="28"/>
        <v>E</v>
      </c>
      <c r="X108">
        <f t="shared" si="29"/>
        <v>6</v>
      </c>
      <c r="Y108" s="4">
        <f t="shared" si="30"/>
        <v>3</v>
      </c>
      <c r="Z108" t="str">
        <f t="shared" si="31"/>
        <v>1652363</v>
      </c>
      <c r="AA108" t="str">
        <f t="shared" si="32"/>
        <v xml:space="preserve">Prof.Dr. ŞERİFE GÖZDE YİRMİBEŞOĞLU </v>
      </c>
      <c r="AB108" t="str">
        <f t="shared" si="33"/>
        <v>1652363</v>
      </c>
    </row>
    <row r="109" spans="6:28" x14ac:dyDescent="0.45">
      <c r="F109" t="s">
        <v>245</v>
      </c>
      <c r="G109" t="s">
        <v>329</v>
      </c>
      <c r="H109" t="s">
        <v>330</v>
      </c>
      <c r="I109" t="s">
        <v>331</v>
      </c>
      <c r="K109" s="4">
        <f t="shared" si="18"/>
        <v>1</v>
      </c>
      <c r="L109" s="4">
        <f t="shared" si="19"/>
        <v>6</v>
      </c>
      <c r="M109" s="4">
        <f t="shared" si="34"/>
        <v>5</v>
      </c>
      <c r="N109" s="4">
        <f t="shared" si="34"/>
        <v>2</v>
      </c>
      <c r="O109" t="str">
        <f t="shared" si="20"/>
        <v>Ş</v>
      </c>
      <c r="P109">
        <f t="shared" si="21"/>
        <v>24</v>
      </c>
      <c r="Q109" t="str">
        <f t="shared" si="22"/>
        <v>E</v>
      </c>
      <c r="R109">
        <f t="shared" si="23"/>
        <v>6</v>
      </c>
      <c r="S109" s="4">
        <f t="shared" si="24"/>
        <v>3</v>
      </c>
      <c r="T109" s="4">
        <f t="shared" si="25"/>
        <v>6</v>
      </c>
      <c r="U109" t="str">
        <f t="shared" si="26"/>
        <v>G</v>
      </c>
      <c r="V109">
        <f t="shared" si="27"/>
        <v>8</v>
      </c>
      <c r="W109" t="str">
        <f t="shared" si="28"/>
        <v>E</v>
      </c>
      <c r="X109">
        <f t="shared" si="29"/>
        <v>6</v>
      </c>
      <c r="Y109" s="4">
        <f t="shared" si="30"/>
        <v>3</v>
      </c>
      <c r="Z109" t="str">
        <f t="shared" si="31"/>
        <v>1652363</v>
      </c>
      <c r="AA109" t="str">
        <f t="shared" si="32"/>
        <v xml:space="preserve">Prof.Dr. ŞERİFE GÖZDE YİRMİBEŞOĞLU </v>
      </c>
      <c r="AB109" t="str">
        <f t="shared" si="33"/>
        <v>1652363</v>
      </c>
    </row>
    <row r="110" spans="6:28" x14ac:dyDescent="0.45">
      <c r="F110" t="s">
        <v>245</v>
      </c>
      <c r="G110" t="s">
        <v>329</v>
      </c>
      <c r="H110" t="s">
        <v>330</v>
      </c>
      <c r="I110" t="s">
        <v>331</v>
      </c>
      <c r="K110" s="4">
        <f t="shared" si="18"/>
        <v>1</v>
      </c>
      <c r="L110" s="4">
        <f t="shared" si="19"/>
        <v>6</v>
      </c>
      <c r="M110" s="4">
        <f t="shared" si="34"/>
        <v>5</v>
      </c>
      <c r="N110" s="4">
        <f t="shared" si="34"/>
        <v>2</v>
      </c>
      <c r="O110" t="str">
        <f t="shared" si="20"/>
        <v>Ş</v>
      </c>
      <c r="P110">
        <f t="shared" si="21"/>
        <v>24</v>
      </c>
      <c r="Q110" t="str">
        <f t="shared" si="22"/>
        <v>E</v>
      </c>
      <c r="R110">
        <f t="shared" si="23"/>
        <v>6</v>
      </c>
      <c r="S110" s="4">
        <f t="shared" si="24"/>
        <v>3</v>
      </c>
      <c r="T110" s="4">
        <f t="shared" si="25"/>
        <v>6</v>
      </c>
      <c r="U110" t="str">
        <f t="shared" si="26"/>
        <v>G</v>
      </c>
      <c r="V110">
        <f t="shared" si="27"/>
        <v>8</v>
      </c>
      <c r="W110" t="str">
        <f t="shared" si="28"/>
        <v>E</v>
      </c>
      <c r="X110">
        <f t="shared" si="29"/>
        <v>6</v>
      </c>
      <c r="Y110" s="4">
        <f t="shared" si="30"/>
        <v>3</v>
      </c>
      <c r="Z110" t="str">
        <f t="shared" si="31"/>
        <v>1652363</v>
      </c>
      <c r="AA110" t="str">
        <f t="shared" si="32"/>
        <v xml:space="preserve">Prof.Dr. ŞERİFE GÖZDE YİRMİBEŞOĞLU </v>
      </c>
      <c r="AB110" t="str">
        <f t="shared" si="33"/>
        <v>1652363</v>
      </c>
    </row>
    <row r="111" spans="6:28" x14ac:dyDescent="0.45">
      <c r="F111" t="s">
        <v>248</v>
      </c>
      <c r="G111" t="s">
        <v>325</v>
      </c>
      <c r="H111" t="s">
        <v>326</v>
      </c>
      <c r="K111" s="4">
        <f t="shared" si="18"/>
        <v>4</v>
      </c>
      <c r="L111" s="4">
        <f t="shared" si="19"/>
        <v>5</v>
      </c>
      <c r="M111" s="4">
        <f t="shared" si="34"/>
        <v>5</v>
      </c>
      <c r="N111" s="4">
        <f t="shared" si="34"/>
        <v>0</v>
      </c>
      <c r="O111" t="str">
        <f t="shared" si="20"/>
        <v>O</v>
      </c>
      <c r="P111">
        <f t="shared" si="21"/>
        <v>18</v>
      </c>
      <c r="Q111" t="str">
        <f t="shared" si="22"/>
        <v>N</v>
      </c>
      <c r="R111">
        <f t="shared" si="23"/>
        <v>17</v>
      </c>
      <c r="S111" s="4">
        <f t="shared" si="24"/>
        <v>4</v>
      </c>
      <c r="T111" s="4">
        <f t="shared" si="25"/>
        <v>3</v>
      </c>
      <c r="U111" t="str">
        <f t="shared" si="26"/>
        <v>Y</v>
      </c>
      <c r="V111">
        <f t="shared" si="27"/>
        <v>31</v>
      </c>
      <c r="W111" t="str">
        <f t="shared" si="28"/>
        <v>T</v>
      </c>
      <c r="X111">
        <f t="shared" si="29"/>
        <v>25</v>
      </c>
      <c r="Y111" s="4">
        <f t="shared" si="30"/>
        <v>1</v>
      </c>
      <c r="Z111" t="str">
        <f t="shared" si="31"/>
        <v>4550431</v>
      </c>
      <c r="AA111" t="str">
        <f t="shared" si="32"/>
        <v xml:space="preserve">Öğr.Gör.Dr. OSMAN YAKIT  </v>
      </c>
      <c r="AB111" t="str">
        <f t="shared" si="33"/>
        <v>4550431</v>
      </c>
    </row>
    <row r="112" spans="6:28" x14ac:dyDescent="0.45">
      <c r="F112" t="s">
        <v>248</v>
      </c>
      <c r="G112" t="s">
        <v>325</v>
      </c>
      <c r="H112" t="s">
        <v>326</v>
      </c>
      <c r="K112" s="4">
        <f t="shared" si="18"/>
        <v>4</v>
      </c>
      <c r="L112" s="4">
        <f t="shared" si="19"/>
        <v>5</v>
      </c>
      <c r="M112" s="4">
        <f t="shared" si="34"/>
        <v>5</v>
      </c>
      <c r="N112" s="4">
        <f t="shared" si="34"/>
        <v>0</v>
      </c>
      <c r="O112" t="str">
        <f t="shared" si="20"/>
        <v>O</v>
      </c>
      <c r="P112">
        <f t="shared" si="21"/>
        <v>18</v>
      </c>
      <c r="Q112" t="str">
        <f t="shared" si="22"/>
        <v>N</v>
      </c>
      <c r="R112">
        <f t="shared" si="23"/>
        <v>17</v>
      </c>
      <c r="S112" s="4">
        <f t="shared" si="24"/>
        <v>4</v>
      </c>
      <c r="T112" s="4">
        <f t="shared" si="25"/>
        <v>3</v>
      </c>
      <c r="U112" t="str">
        <f t="shared" si="26"/>
        <v>Y</v>
      </c>
      <c r="V112">
        <f t="shared" si="27"/>
        <v>31</v>
      </c>
      <c r="W112" t="str">
        <f t="shared" si="28"/>
        <v>T</v>
      </c>
      <c r="X112">
        <f t="shared" si="29"/>
        <v>25</v>
      </c>
      <c r="Y112" s="4">
        <f t="shared" si="30"/>
        <v>1</v>
      </c>
      <c r="Z112" t="str">
        <f t="shared" si="31"/>
        <v>4550431</v>
      </c>
      <c r="AA112" t="str">
        <f t="shared" si="32"/>
        <v xml:space="preserve">Öğr.Gör.Dr. OSMAN YAKIT  </v>
      </c>
      <c r="AB112" t="str">
        <f t="shared" si="33"/>
        <v>4550431</v>
      </c>
    </row>
    <row r="113" spans="6:28" x14ac:dyDescent="0.45">
      <c r="F113" t="s">
        <v>245</v>
      </c>
      <c r="G113" t="s">
        <v>329</v>
      </c>
      <c r="H113" t="s">
        <v>330</v>
      </c>
      <c r="I113" t="s">
        <v>331</v>
      </c>
      <c r="K113" s="4">
        <f t="shared" si="18"/>
        <v>1</v>
      </c>
      <c r="L113" s="4">
        <f t="shared" si="19"/>
        <v>6</v>
      </c>
      <c r="M113" s="4">
        <f t="shared" si="34"/>
        <v>5</v>
      </c>
      <c r="N113" s="4">
        <f t="shared" si="34"/>
        <v>2</v>
      </c>
      <c r="O113" t="str">
        <f t="shared" si="20"/>
        <v>Ş</v>
      </c>
      <c r="P113">
        <f t="shared" si="21"/>
        <v>24</v>
      </c>
      <c r="Q113" t="str">
        <f t="shared" si="22"/>
        <v>E</v>
      </c>
      <c r="R113">
        <f t="shared" si="23"/>
        <v>6</v>
      </c>
      <c r="S113" s="4">
        <f t="shared" si="24"/>
        <v>3</v>
      </c>
      <c r="T113" s="4">
        <f t="shared" si="25"/>
        <v>6</v>
      </c>
      <c r="U113" t="str">
        <f t="shared" si="26"/>
        <v>G</v>
      </c>
      <c r="V113">
        <f t="shared" si="27"/>
        <v>8</v>
      </c>
      <c r="W113" t="str">
        <f t="shared" si="28"/>
        <v>E</v>
      </c>
      <c r="X113">
        <f t="shared" si="29"/>
        <v>6</v>
      </c>
      <c r="Y113" s="4">
        <f t="shared" si="30"/>
        <v>3</v>
      </c>
      <c r="Z113" t="str">
        <f t="shared" si="31"/>
        <v>1652363</v>
      </c>
      <c r="AA113" t="str">
        <f t="shared" si="32"/>
        <v xml:space="preserve">Prof.Dr. ŞERİFE GÖZDE YİRMİBEŞOĞLU </v>
      </c>
      <c r="AB113" t="str">
        <f t="shared" si="33"/>
        <v>1652363</v>
      </c>
    </row>
    <row r="114" spans="6:28" x14ac:dyDescent="0.45">
      <c r="F114" t="s">
        <v>245</v>
      </c>
      <c r="G114" t="s">
        <v>329</v>
      </c>
      <c r="H114" t="s">
        <v>330</v>
      </c>
      <c r="I114" t="s">
        <v>331</v>
      </c>
      <c r="K114" s="4">
        <f t="shared" si="18"/>
        <v>1</v>
      </c>
      <c r="L114" s="4">
        <f t="shared" si="19"/>
        <v>6</v>
      </c>
      <c r="M114" s="4">
        <f t="shared" si="34"/>
        <v>5</v>
      </c>
      <c r="N114" s="4">
        <f t="shared" si="34"/>
        <v>2</v>
      </c>
      <c r="O114" t="str">
        <f t="shared" si="20"/>
        <v>Ş</v>
      </c>
      <c r="P114">
        <f t="shared" si="21"/>
        <v>24</v>
      </c>
      <c r="Q114" t="str">
        <f t="shared" si="22"/>
        <v>E</v>
      </c>
      <c r="R114">
        <f t="shared" si="23"/>
        <v>6</v>
      </c>
      <c r="S114" s="4">
        <f t="shared" si="24"/>
        <v>3</v>
      </c>
      <c r="T114" s="4">
        <f t="shared" si="25"/>
        <v>6</v>
      </c>
      <c r="U114" t="str">
        <f t="shared" si="26"/>
        <v>G</v>
      </c>
      <c r="V114">
        <f t="shared" si="27"/>
        <v>8</v>
      </c>
      <c r="W114" t="str">
        <f t="shared" si="28"/>
        <v>E</v>
      </c>
      <c r="X114">
        <f t="shared" si="29"/>
        <v>6</v>
      </c>
      <c r="Y114" s="4">
        <f t="shared" si="30"/>
        <v>3</v>
      </c>
      <c r="Z114" t="str">
        <f t="shared" si="31"/>
        <v>1652363</v>
      </c>
      <c r="AA114" t="str">
        <f t="shared" si="32"/>
        <v xml:space="preserve">Prof.Dr. ŞERİFE GÖZDE YİRMİBEŞOĞLU </v>
      </c>
      <c r="AB114" t="str">
        <f t="shared" si="33"/>
        <v>1652363</v>
      </c>
    </row>
    <row r="115" spans="6:28" x14ac:dyDescent="0.45">
      <c r="F115" t="s">
        <v>248</v>
      </c>
      <c r="G115" t="s">
        <v>327</v>
      </c>
      <c r="H115" t="s">
        <v>328</v>
      </c>
      <c r="K115" s="4">
        <f t="shared" si="18"/>
        <v>4</v>
      </c>
      <c r="L115" s="4">
        <f t="shared" si="19"/>
        <v>6</v>
      </c>
      <c r="M115" s="4">
        <f t="shared" si="34"/>
        <v>7</v>
      </c>
      <c r="N115" s="4">
        <f t="shared" si="34"/>
        <v>0</v>
      </c>
      <c r="O115" t="str">
        <f t="shared" si="20"/>
        <v>İ</v>
      </c>
      <c r="P115">
        <f t="shared" si="21"/>
        <v>12</v>
      </c>
      <c r="Q115" t="str">
        <f t="shared" si="22"/>
        <v>L</v>
      </c>
      <c r="R115">
        <f t="shared" si="23"/>
        <v>15</v>
      </c>
      <c r="S115" s="4">
        <f t="shared" si="24"/>
        <v>5</v>
      </c>
      <c r="T115" s="4">
        <f t="shared" si="25"/>
        <v>1</v>
      </c>
      <c r="U115" t="str">
        <f t="shared" si="26"/>
        <v>K</v>
      </c>
      <c r="V115">
        <f t="shared" si="27"/>
        <v>14</v>
      </c>
      <c r="W115" t="str">
        <f t="shared" si="28"/>
        <v>N</v>
      </c>
      <c r="X115">
        <f t="shared" si="29"/>
        <v>17</v>
      </c>
      <c r="Y115" s="4">
        <f t="shared" si="30"/>
        <v>4</v>
      </c>
      <c r="Z115" t="str">
        <f t="shared" si="31"/>
        <v>4670514</v>
      </c>
      <c r="AA115" t="str">
        <f t="shared" si="32"/>
        <v xml:space="preserve">Öğr.Gör.Dr. İsmail KARAYÜN  </v>
      </c>
      <c r="AB115" t="str">
        <f t="shared" si="33"/>
        <v>4670514</v>
      </c>
    </row>
    <row r="116" spans="6:28" x14ac:dyDescent="0.45">
      <c r="F116" t="s">
        <v>248</v>
      </c>
      <c r="G116" t="s">
        <v>327</v>
      </c>
      <c r="H116" t="s">
        <v>328</v>
      </c>
      <c r="K116" s="4">
        <f t="shared" si="18"/>
        <v>4</v>
      </c>
      <c r="L116" s="4">
        <f t="shared" si="19"/>
        <v>6</v>
      </c>
      <c r="M116" s="4">
        <f t="shared" si="34"/>
        <v>7</v>
      </c>
      <c r="N116" s="4">
        <f t="shared" si="34"/>
        <v>0</v>
      </c>
      <c r="O116" t="str">
        <f t="shared" si="20"/>
        <v>İ</v>
      </c>
      <c r="P116">
        <f t="shared" si="21"/>
        <v>12</v>
      </c>
      <c r="Q116" t="str">
        <f t="shared" si="22"/>
        <v>L</v>
      </c>
      <c r="R116">
        <f t="shared" si="23"/>
        <v>15</v>
      </c>
      <c r="S116" s="4">
        <f t="shared" si="24"/>
        <v>5</v>
      </c>
      <c r="T116" s="4">
        <f t="shared" si="25"/>
        <v>1</v>
      </c>
      <c r="U116" t="str">
        <f t="shared" si="26"/>
        <v>K</v>
      </c>
      <c r="V116">
        <f t="shared" si="27"/>
        <v>14</v>
      </c>
      <c r="W116" t="str">
        <f t="shared" si="28"/>
        <v>N</v>
      </c>
      <c r="X116">
        <f t="shared" si="29"/>
        <v>17</v>
      </c>
      <c r="Y116" s="4">
        <f t="shared" si="30"/>
        <v>4</v>
      </c>
      <c r="Z116" t="str">
        <f t="shared" si="31"/>
        <v>4670514</v>
      </c>
      <c r="AA116" t="str">
        <f t="shared" si="32"/>
        <v xml:space="preserve">Öğr.Gör.Dr. İsmail KARAYÜN  </v>
      </c>
      <c r="AB116" t="str">
        <f t="shared" si="33"/>
        <v>4670514</v>
      </c>
    </row>
    <row r="117" spans="6:28" x14ac:dyDescent="0.45">
      <c r="F117" t="s">
        <v>245</v>
      </c>
      <c r="G117" t="s">
        <v>320</v>
      </c>
      <c r="H117" t="s">
        <v>321</v>
      </c>
      <c r="K117" s="4">
        <f t="shared" si="18"/>
        <v>1</v>
      </c>
      <c r="L117" s="4">
        <f t="shared" si="19"/>
        <v>7</v>
      </c>
      <c r="M117" s="4">
        <f t="shared" si="34"/>
        <v>0</v>
      </c>
      <c r="N117" s="4">
        <f t="shared" si="34"/>
        <v>0</v>
      </c>
      <c r="O117" t="str">
        <f t="shared" si="20"/>
        <v>F</v>
      </c>
      <c r="P117">
        <f t="shared" si="21"/>
        <v>7</v>
      </c>
      <c r="Q117" t="str">
        <f t="shared" si="22"/>
        <v>E</v>
      </c>
      <c r="R117">
        <f t="shared" si="23"/>
        <v>6</v>
      </c>
      <c r="S117" s="4">
        <f t="shared" si="24"/>
        <v>0</v>
      </c>
      <c r="T117" s="4">
        <f t="shared" si="25"/>
        <v>6</v>
      </c>
      <c r="U117" t="str">
        <f t="shared" si="26"/>
        <v>M</v>
      </c>
      <c r="V117">
        <f t="shared" si="27"/>
        <v>16</v>
      </c>
      <c r="W117" t="str">
        <f t="shared" si="28"/>
        <v>İ</v>
      </c>
      <c r="X117">
        <f t="shared" si="29"/>
        <v>12</v>
      </c>
      <c r="Y117" s="4">
        <f t="shared" si="30"/>
        <v>3</v>
      </c>
      <c r="Z117" t="str">
        <f t="shared" si="31"/>
        <v>1700063</v>
      </c>
      <c r="AA117" t="str">
        <f t="shared" si="32"/>
        <v xml:space="preserve">Prof.Dr. FAHRİYE MERDİVENCİ  </v>
      </c>
      <c r="AB117" t="str">
        <f t="shared" si="33"/>
        <v>1700063</v>
      </c>
    </row>
    <row r="118" spans="6:28" x14ac:dyDescent="0.45">
      <c r="F118" t="s">
        <v>245</v>
      </c>
      <c r="G118" t="s">
        <v>320</v>
      </c>
      <c r="H118" t="s">
        <v>321</v>
      </c>
      <c r="K118" s="4">
        <f t="shared" si="18"/>
        <v>1</v>
      </c>
      <c r="L118" s="4">
        <f t="shared" si="19"/>
        <v>7</v>
      </c>
      <c r="M118" s="4">
        <f t="shared" si="34"/>
        <v>0</v>
      </c>
      <c r="N118" s="4">
        <f t="shared" si="34"/>
        <v>0</v>
      </c>
      <c r="O118" t="str">
        <f t="shared" si="20"/>
        <v>F</v>
      </c>
      <c r="P118">
        <f t="shared" si="21"/>
        <v>7</v>
      </c>
      <c r="Q118" t="str">
        <f t="shared" si="22"/>
        <v>E</v>
      </c>
      <c r="R118">
        <f t="shared" si="23"/>
        <v>6</v>
      </c>
      <c r="S118" s="4">
        <f t="shared" si="24"/>
        <v>0</v>
      </c>
      <c r="T118" s="4">
        <f t="shared" si="25"/>
        <v>6</v>
      </c>
      <c r="U118" t="str">
        <f t="shared" si="26"/>
        <v>M</v>
      </c>
      <c r="V118">
        <f t="shared" si="27"/>
        <v>16</v>
      </c>
      <c r="W118" t="str">
        <f t="shared" si="28"/>
        <v>İ</v>
      </c>
      <c r="X118">
        <f t="shared" si="29"/>
        <v>12</v>
      </c>
      <c r="Y118" s="4">
        <f t="shared" si="30"/>
        <v>3</v>
      </c>
      <c r="Z118" t="str">
        <f t="shared" si="31"/>
        <v>1700063</v>
      </c>
      <c r="AA118" t="str">
        <f t="shared" si="32"/>
        <v xml:space="preserve">Prof.Dr. FAHRİYE MERDİVENCİ  </v>
      </c>
      <c r="AB118" t="str">
        <f t="shared" si="33"/>
        <v>1700063</v>
      </c>
    </row>
    <row r="119" spans="6:28" x14ac:dyDescent="0.45">
      <c r="F119" t="s">
        <v>248</v>
      </c>
      <c r="G119" t="s">
        <v>325</v>
      </c>
      <c r="H119" t="s">
        <v>326</v>
      </c>
      <c r="K119" s="4">
        <f t="shared" si="18"/>
        <v>4</v>
      </c>
      <c r="L119" s="4">
        <f t="shared" si="19"/>
        <v>5</v>
      </c>
      <c r="M119" s="4">
        <f t="shared" si="34"/>
        <v>5</v>
      </c>
      <c r="N119" s="4">
        <f t="shared" si="34"/>
        <v>0</v>
      </c>
      <c r="O119" t="str">
        <f t="shared" si="20"/>
        <v>O</v>
      </c>
      <c r="P119">
        <f t="shared" si="21"/>
        <v>18</v>
      </c>
      <c r="Q119" t="str">
        <f t="shared" si="22"/>
        <v>N</v>
      </c>
      <c r="R119">
        <f t="shared" si="23"/>
        <v>17</v>
      </c>
      <c r="S119" s="4">
        <f t="shared" si="24"/>
        <v>4</v>
      </c>
      <c r="T119" s="4">
        <f t="shared" si="25"/>
        <v>3</v>
      </c>
      <c r="U119" t="str">
        <f t="shared" si="26"/>
        <v>Y</v>
      </c>
      <c r="V119">
        <f t="shared" si="27"/>
        <v>31</v>
      </c>
      <c r="W119" t="str">
        <f t="shared" si="28"/>
        <v>T</v>
      </c>
      <c r="X119">
        <f t="shared" si="29"/>
        <v>25</v>
      </c>
      <c r="Y119" s="4">
        <f t="shared" si="30"/>
        <v>1</v>
      </c>
      <c r="Z119" t="str">
        <f t="shared" si="31"/>
        <v>4550431</v>
      </c>
      <c r="AA119" t="str">
        <f t="shared" si="32"/>
        <v xml:space="preserve">Öğr.Gör.Dr. OSMAN YAKIT  </v>
      </c>
      <c r="AB119" t="str">
        <f t="shared" si="33"/>
        <v>4550431</v>
      </c>
    </row>
    <row r="120" spans="6:28" x14ac:dyDescent="0.45">
      <c r="F120" t="s">
        <v>248</v>
      </c>
      <c r="G120" t="s">
        <v>325</v>
      </c>
      <c r="H120" t="s">
        <v>326</v>
      </c>
      <c r="K120" s="4">
        <f t="shared" si="18"/>
        <v>4</v>
      </c>
      <c r="L120" s="4">
        <f t="shared" si="19"/>
        <v>5</v>
      </c>
      <c r="M120" s="4">
        <f t="shared" si="34"/>
        <v>5</v>
      </c>
      <c r="N120" s="4">
        <f t="shared" si="34"/>
        <v>0</v>
      </c>
      <c r="O120" t="str">
        <f t="shared" si="20"/>
        <v>O</v>
      </c>
      <c r="P120">
        <f t="shared" si="21"/>
        <v>18</v>
      </c>
      <c r="Q120" t="str">
        <f t="shared" si="22"/>
        <v>N</v>
      </c>
      <c r="R120">
        <f t="shared" si="23"/>
        <v>17</v>
      </c>
      <c r="S120" s="4">
        <f t="shared" si="24"/>
        <v>4</v>
      </c>
      <c r="T120" s="4">
        <f t="shared" si="25"/>
        <v>3</v>
      </c>
      <c r="U120" t="str">
        <f t="shared" si="26"/>
        <v>Y</v>
      </c>
      <c r="V120">
        <f t="shared" si="27"/>
        <v>31</v>
      </c>
      <c r="W120" t="str">
        <f t="shared" si="28"/>
        <v>T</v>
      </c>
      <c r="X120">
        <f t="shared" si="29"/>
        <v>25</v>
      </c>
      <c r="Y120" s="4">
        <f t="shared" si="30"/>
        <v>1</v>
      </c>
      <c r="Z120" t="str">
        <f t="shared" si="31"/>
        <v>4550431</v>
      </c>
      <c r="AA120" t="str">
        <f t="shared" si="32"/>
        <v xml:space="preserve">Öğr.Gör.Dr. OSMAN YAKIT  </v>
      </c>
      <c r="AB120" t="str">
        <f t="shared" si="33"/>
        <v>4550431</v>
      </c>
    </row>
    <row r="121" spans="6:28" x14ac:dyDescent="0.45">
      <c r="F121" t="s">
        <v>250</v>
      </c>
      <c r="G121" t="s">
        <v>332</v>
      </c>
      <c r="H121" t="s">
        <v>333</v>
      </c>
      <c r="K121" s="4">
        <f t="shared" si="18"/>
        <v>6</v>
      </c>
      <c r="L121" s="4">
        <f t="shared" si="19"/>
        <v>5</v>
      </c>
      <c r="M121" s="4">
        <f t="shared" si="34"/>
        <v>9</v>
      </c>
      <c r="N121" s="4">
        <f t="shared" si="34"/>
        <v>0</v>
      </c>
      <c r="O121" t="str">
        <f t="shared" si="20"/>
        <v>I</v>
      </c>
      <c r="P121">
        <f t="shared" si="21"/>
        <v>11</v>
      </c>
      <c r="Q121" t="str">
        <f t="shared" si="22"/>
        <v>K</v>
      </c>
      <c r="R121">
        <f t="shared" si="23"/>
        <v>14</v>
      </c>
      <c r="S121" s="4">
        <f t="shared" si="24"/>
        <v>4</v>
      </c>
      <c r="T121" s="4">
        <f t="shared" si="25"/>
        <v>0</v>
      </c>
      <c r="U121" t="str">
        <f t="shared" si="26"/>
        <v>H</v>
      </c>
      <c r="V121">
        <f t="shared" si="27"/>
        <v>10</v>
      </c>
      <c r="W121" t="str">
        <f t="shared" si="28"/>
        <v>U</v>
      </c>
      <c r="X121">
        <f t="shared" si="29"/>
        <v>26</v>
      </c>
      <c r="Y121" s="4">
        <f t="shared" si="30"/>
        <v>8</v>
      </c>
      <c r="Z121" t="str">
        <f t="shared" si="31"/>
        <v>6590408</v>
      </c>
      <c r="AA121" t="str">
        <f t="shared" si="32"/>
        <v xml:space="preserve">Arş.Gör.Dr. IRMAK HATIPOĞLU  </v>
      </c>
      <c r="AB121" t="str">
        <f t="shared" si="33"/>
        <v>6590408</v>
      </c>
    </row>
    <row r="122" spans="6:28" x14ac:dyDescent="0.45">
      <c r="F122" t="s">
        <v>250</v>
      </c>
      <c r="G122" t="s">
        <v>332</v>
      </c>
      <c r="H122" t="s">
        <v>333</v>
      </c>
      <c r="K122" s="4">
        <f t="shared" si="18"/>
        <v>6</v>
      </c>
      <c r="L122" s="4">
        <f t="shared" si="19"/>
        <v>5</v>
      </c>
      <c r="M122" s="4">
        <f t="shared" si="34"/>
        <v>9</v>
      </c>
      <c r="N122" s="4">
        <f t="shared" si="34"/>
        <v>0</v>
      </c>
      <c r="O122" t="str">
        <f t="shared" si="20"/>
        <v>I</v>
      </c>
      <c r="P122">
        <f t="shared" si="21"/>
        <v>11</v>
      </c>
      <c r="Q122" t="str">
        <f t="shared" si="22"/>
        <v>K</v>
      </c>
      <c r="R122">
        <f t="shared" si="23"/>
        <v>14</v>
      </c>
      <c r="S122" s="4">
        <f t="shared" si="24"/>
        <v>4</v>
      </c>
      <c r="T122" s="4">
        <f t="shared" si="25"/>
        <v>0</v>
      </c>
      <c r="U122" t="str">
        <f t="shared" si="26"/>
        <v>H</v>
      </c>
      <c r="V122">
        <f t="shared" si="27"/>
        <v>10</v>
      </c>
      <c r="W122" t="str">
        <f t="shared" si="28"/>
        <v>U</v>
      </c>
      <c r="X122">
        <f t="shared" si="29"/>
        <v>26</v>
      </c>
      <c r="Y122" s="4">
        <f t="shared" si="30"/>
        <v>8</v>
      </c>
      <c r="Z122" t="str">
        <f t="shared" si="31"/>
        <v>6590408</v>
      </c>
      <c r="AA122" t="str">
        <f t="shared" si="32"/>
        <v xml:space="preserve">Arş.Gör.Dr. IRMAK HATIPOĞLU  </v>
      </c>
      <c r="AB122" t="str">
        <f t="shared" si="33"/>
        <v>6590408</v>
      </c>
    </row>
    <row r="123" spans="6:28" x14ac:dyDescent="0.45">
      <c r="F123" t="s">
        <v>248</v>
      </c>
      <c r="G123" t="s">
        <v>327</v>
      </c>
      <c r="H123" t="s">
        <v>328</v>
      </c>
      <c r="K123" s="4">
        <f t="shared" si="18"/>
        <v>4</v>
      </c>
      <c r="L123" s="4">
        <f t="shared" si="19"/>
        <v>6</v>
      </c>
      <c r="M123" s="4">
        <f t="shared" si="34"/>
        <v>7</v>
      </c>
      <c r="N123" s="4">
        <f t="shared" si="34"/>
        <v>0</v>
      </c>
      <c r="O123" t="str">
        <f t="shared" si="20"/>
        <v>İ</v>
      </c>
      <c r="P123">
        <f t="shared" si="21"/>
        <v>12</v>
      </c>
      <c r="Q123" t="str">
        <f t="shared" si="22"/>
        <v>L</v>
      </c>
      <c r="R123">
        <f t="shared" si="23"/>
        <v>15</v>
      </c>
      <c r="S123" s="4">
        <f t="shared" si="24"/>
        <v>5</v>
      </c>
      <c r="T123" s="4">
        <f t="shared" si="25"/>
        <v>1</v>
      </c>
      <c r="U123" t="str">
        <f t="shared" si="26"/>
        <v>K</v>
      </c>
      <c r="V123">
        <f t="shared" si="27"/>
        <v>14</v>
      </c>
      <c r="W123" t="str">
        <f t="shared" si="28"/>
        <v>N</v>
      </c>
      <c r="X123">
        <f t="shared" si="29"/>
        <v>17</v>
      </c>
      <c r="Y123" s="4">
        <f t="shared" si="30"/>
        <v>4</v>
      </c>
      <c r="Z123" t="str">
        <f t="shared" si="31"/>
        <v>4670514</v>
      </c>
      <c r="AA123" t="str">
        <f t="shared" si="32"/>
        <v xml:space="preserve">Öğr.Gör.Dr. İsmail KARAYÜN  </v>
      </c>
      <c r="AB123" t="str">
        <f t="shared" si="33"/>
        <v>4670514</v>
      </c>
    </row>
    <row r="124" spans="6:28" x14ac:dyDescent="0.45">
      <c r="F124" t="s">
        <v>248</v>
      </c>
      <c r="G124" t="s">
        <v>327</v>
      </c>
      <c r="H124" t="s">
        <v>328</v>
      </c>
      <c r="K124" s="4">
        <f t="shared" si="18"/>
        <v>4</v>
      </c>
      <c r="L124" s="4">
        <f t="shared" si="19"/>
        <v>6</v>
      </c>
      <c r="M124" s="4">
        <f t="shared" si="34"/>
        <v>7</v>
      </c>
      <c r="N124" s="4">
        <f t="shared" si="34"/>
        <v>0</v>
      </c>
      <c r="O124" t="str">
        <f t="shared" si="20"/>
        <v>İ</v>
      </c>
      <c r="P124">
        <f t="shared" si="21"/>
        <v>12</v>
      </c>
      <c r="Q124" t="str">
        <f t="shared" si="22"/>
        <v>L</v>
      </c>
      <c r="R124">
        <f t="shared" si="23"/>
        <v>15</v>
      </c>
      <c r="S124" s="4">
        <f t="shared" si="24"/>
        <v>5</v>
      </c>
      <c r="T124" s="4">
        <f t="shared" si="25"/>
        <v>1</v>
      </c>
      <c r="U124" t="str">
        <f t="shared" si="26"/>
        <v>K</v>
      </c>
      <c r="V124">
        <f t="shared" si="27"/>
        <v>14</v>
      </c>
      <c r="W124" t="str">
        <f t="shared" si="28"/>
        <v>N</v>
      </c>
      <c r="X124">
        <f t="shared" si="29"/>
        <v>17</v>
      </c>
      <c r="Y124" s="4">
        <f t="shared" si="30"/>
        <v>4</v>
      </c>
      <c r="Z124" t="str">
        <f t="shared" si="31"/>
        <v>4670514</v>
      </c>
      <c r="AA124" t="str">
        <f t="shared" si="32"/>
        <v xml:space="preserve">Öğr.Gör.Dr. İsmail KARAYÜN  </v>
      </c>
      <c r="AB124" t="str">
        <f t="shared" si="33"/>
        <v>4670514</v>
      </c>
    </row>
    <row r="125" spans="6:28" x14ac:dyDescent="0.45">
      <c r="F125" t="s">
        <v>245</v>
      </c>
      <c r="G125" t="s">
        <v>315</v>
      </c>
      <c r="H125" t="s">
        <v>316</v>
      </c>
      <c r="K125" s="4">
        <f t="shared" si="18"/>
        <v>1</v>
      </c>
      <c r="L125" s="4">
        <f t="shared" si="19"/>
        <v>7</v>
      </c>
      <c r="M125" s="4">
        <f t="shared" si="34"/>
        <v>8</v>
      </c>
      <c r="N125" s="4">
        <f t="shared" si="34"/>
        <v>0</v>
      </c>
      <c r="O125" t="str">
        <f t="shared" si="20"/>
        <v>R</v>
      </c>
      <c r="P125">
        <f t="shared" si="21"/>
        <v>22</v>
      </c>
      <c r="Q125" t="str">
        <f t="shared" si="22"/>
        <v>N</v>
      </c>
      <c r="R125">
        <f t="shared" si="23"/>
        <v>17</v>
      </c>
      <c r="S125" s="4">
        <f t="shared" si="24"/>
        <v>1</v>
      </c>
      <c r="T125" s="4">
        <f t="shared" si="25"/>
        <v>3</v>
      </c>
      <c r="U125" t="str">
        <f t="shared" si="26"/>
        <v>E</v>
      </c>
      <c r="V125">
        <f t="shared" si="27"/>
        <v>6</v>
      </c>
      <c r="W125" t="str">
        <f t="shared" si="28"/>
        <v>T</v>
      </c>
      <c r="X125">
        <f t="shared" si="29"/>
        <v>25</v>
      </c>
      <c r="Y125" s="4">
        <f t="shared" si="30"/>
        <v>6</v>
      </c>
      <c r="Z125" t="str">
        <f t="shared" si="31"/>
        <v>1780136</v>
      </c>
      <c r="AA125" t="str">
        <f t="shared" si="32"/>
        <v xml:space="preserve">Prof.Dr. RAMAZAN ERTURGUT  </v>
      </c>
      <c r="AB125" t="str">
        <f t="shared" si="33"/>
        <v>1780136</v>
      </c>
    </row>
    <row r="126" spans="6:28" x14ac:dyDescent="0.45">
      <c r="F126" t="s">
        <v>245</v>
      </c>
      <c r="G126" t="s">
        <v>329</v>
      </c>
      <c r="H126" t="s">
        <v>330</v>
      </c>
      <c r="I126" t="s">
        <v>331</v>
      </c>
      <c r="K126" s="4">
        <f t="shared" si="18"/>
        <v>1</v>
      </c>
      <c r="L126" s="4">
        <f t="shared" si="19"/>
        <v>6</v>
      </c>
      <c r="M126" s="4">
        <f t="shared" si="34"/>
        <v>5</v>
      </c>
      <c r="N126" s="4">
        <f t="shared" si="34"/>
        <v>2</v>
      </c>
      <c r="O126" t="str">
        <f t="shared" si="20"/>
        <v>Ş</v>
      </c>
      <c r="P126">
        <f t="shared" si="21"/>
        <v>24</v>
      </c>
      <c r="Q126" t="str">
        <f t="shared" si="22"/>
        <v>E</v>
      </c>
      <c r="R126">
        <f t="shared" si="23"/>
        <v>6</v>
      </c>
      <c r="S126" s="4">
        <f t="shared" si="24"/>
        <v>3</v>
      </c>
      <c r="T126" s="4">
        <f t="shared" si="25"/>
        <v>6</v>
      </c>
      <c r="U126" t="str">
        <f t="shared" si="26"/>
        <v>G</v>
      </c>
      <c r="V126">
        <f t="shared" si="27"/>
        <v>8</v>
      </c>
      <c r="W126" t="str">
        <f t="shared" si="28"/>
        <v>E</v>
      </c>
      <c r="X126">
        <f t="shared" si="29"/>
        <v>6</v>
      </c>
      <c r="Y126" s="4">
        <f t="shared" si="30"/>
        <v>3</v>
      </c>
      <c r="Z126" t="str">
        <f t="shared" si="31"/>
        <v>1652363</v>
      </c>
      <c r="AA126" t="str">
        <f t="shared" si="32"/>
        <v xml:space="preserve">Prof.Dr. ŞERİFE GÖZDE YİRMİBEŞOĞLU </v>
      </c>
      <c r="AB126" t="str">
        <f t="shared" si="33"/>
        <v>1652363</v>
      </c>
    </row>
    <row r="127" spans="6:28" x14ac:dyDescent="0.45">
      <c r="F127" t="s">
        <v>245</v>
      </c>
      <c r="G127" t="s">
        <v>320</v>
      </c>
      <c r="H127" t="s">
        <v>321</v>
      </c>
      <c r="K127" s="4">
        <f t="shared" si="18"/>
        <v>1</v>
      </c>
      <c r="L127" s="4">
        <f t="shared" si="19"/>
        <v>7</v>
      </c>
      <c r="M127" s="4">
        <f t="shared" si="34"/>
        <v>0</v>
      </c>
      <c r="N127" s="4">
        <f t="shared" si="34"/>
        <v>0</v>
      </c>
      <c r="O127" t="str">
        <f t="shared" si="20"/>
        <v>F</v>
      </c>
      <c r="P127">
        <f t="shared" si="21"/>
        <v>7</v>
      </c>
      <c r="Q127" t="str">
        <f t="shared" si="22"/>
        <v>E</v>
      </c>
      <c r="R127">
        <f t="shared" si="23"/>
        <v>6</v>
      </c>
      <c r="S127" s="4">
        <f t="shared" si="24"/>
        <v>0</v>
      </c>
      <c r="T127" s="4">
        <f t="shared" si="25"/>
        <v>6</v>
      </c>
      <c r="U127" t="str">
        <f t="shared" si="26"/>
        <v>M</v>
      </c>
      <c r="V127">
        <f t="shared" si="27"/>
        <v>16</v>
      </c>
      <c r="W127" t="str">
        <f t="shared" si="28"/>
        <v>İ</v>
      </c>
      <c r="X127">
        <f t="shared" si="29"/>
        <v>12</v>
      </c>
      <c r="Y127" s="4">
        <f t="shared" si="30"/>
        <v>3</v>
      </c>
      <c r="Z127" t="str">
        <f t="shared" si="31"/>
        <v>1700063</v>
      </c>
      <c r="AA127" t="str">
        <f t="shared" si="32"/>
        <v xml:space="preserve">Prof.Dr. FAHRİYE MERDİVENCİ  </v>
      </c>
      <c r="AB127" t="str">
        <f t="shared" si="33"/>
        <v>1700063</v>
      </c>
    </row>
    <row r="128" spans="6:28" x14ac:dyDescent="0.45">
      <c r="F128" t="s">
        <v>246</v>
      </c>
      <c r="G128" t="s">
        <v>295</v>
      </c>
      <c r="H128" t="s">
        <v>296</v>
      </c>
      <c r="K128" s="4">
        <f t="shared" si="18"/>
        <v>2</v>
      </c>
      <c r="L128" s="4">
        <f t="shared" si="19"/>
        <v>5</v>
      </c>
      <c r="M128" s="4">
        <f t="shared" si="34"/>
        <v>1</v>
      </c>
      <c r="N128" s="4">
        <f t="shared" si="34"/>
        <v>0</v>
      </c>
      <c r="O128" t="str">
        <f t="shared" si="20"/>
        <v>H</v>
      </c>
      <c r="P128">
        <f t="shared" si="21"/>
        <v>10</v>
      </c>
      <c r="Q128" t="str">
        <f t="shared" si="22"/>
        <v>L</v>
      </c>
      <c r="R128">
        <f t="shared" si="23"/>
        <v>15</v>
      </c>
      <c r="S128" s="4">
        <f t="shared" si="24"/>
        <v>3</v>
      </c>
      <c r="T128" s="4">
        <f t="shared" si="25"/>
        <v>1</v>
      </c>
      <c r="U128" t="str">
        <f t="shared" si="26"/>
        <v>Ö</v>
      </c>
      <c r="V128">
        <f t="shared" si="27"/>
        <v>19</v>
      </c>
      <c r="W128" t="str">
        <f t="shared" si="28"/>
        <v>U</v>
      </c>
      <c r="X128">
        <f t="shared" si="29"/>
        <v>26</v>
      </c>
      <c r="Y128" s="4">
        <f t="shared" si="30"/>
        <v>8</v>
      </c>
      <c r="Z128" t="str">
        <f t="shared" si="31"/>
        <v>2510318</v>
      </c>
      <c r="AA128" t="str">
        <f t="shared" si="32"/>
        <v xml:space="preserve">Doç.Dr. HALİL ÖZEKİCİOĞLU  </v>
      </c>
      <c r="AB128" t="str">
        <f t="shared" si="33"/>
        <v>2510318</v>
      </c>
    </row>
    <row r="129" spans="6:28" x14ac:dyDescent="0.45">
      <c r="F129" t="s">
        <v>246</v>
      </c>
      <c r="G129" t="s">
        <v>322</v>
      </c>
      <c r="H129" t="s">
        <v>323</v>
      </c>
      <c r="I129" t="s">
        <v>324</v>
      </c>
      <c r="K129" s="4">
        <f t="shared" si="18"/>
        <v>2</v>
      </c>
      <c r="L129" s="4">
        <f t="shared" si="19"/>
        <v>5</v>
      </c>
      <c r="M129" s="4">
        <f t="shared" si="34"/>
        <v>6</v>
      </c>
      <c r="N129" s="4">
        <f t="shared" si="34"/>
        <v>4</v>
      </c>
      <c r="O129" t="str">
        <f t="shared" si="20"/>
        <v>A</v>
      </c>
      <c r="P129">
        <f t="shared" si="21"/>
        <v>1</v>
      </c>
      <c r="Q129" t="str">
        <f t="shared" si="22"/>
        <v>E</v>
      </c>
      <c r="R129">
        <f t="shared" si="23"/>
        <v>6</v>
      </c>
      <c r="S129" s="4">
        <f t="shared" si="24"/>
        <v>1</v>
      </c>
      <c r="T129" s="4">
        <f t="shared" si="25"/>
        <v>6</v>
      </c>
      <c r="U129" t="str">
        <f t="shared" si="26"/>
        <v>B</v>
      </c>
      <c r="V129">
        <f t="shared" si="27"/>
        <v>2</v>
      </c>
      <c r="W129" t="str">
        <f t="shared" si="28"/>
        <v>N</v>
      </c>
      <c r="X129">
        <f t="shared" si="29"/>
        <v>17</v>
      </c>
      <c r="Y129" s="4">
        <f t="shared" si="30"/>
        <v>7</v>
      </c>
      <c r="Z129" t="str">
        <f t="shared" si="31"/>
        <v>2564167</v>
      </c>
      <c r="AA129" t="str">
        <f t="shared" si="32"/>
        <v xml:space="preserve">Doç.Dr. ATİYE BEYHAN AKAY </v>
      </c>
      <c r="AB129" t="str">
        <f t="shared" si="33"/>
        <v>2564167</v>
      </c>
    </row>
    <row r="130" spans="6:28" x14ac:dyDescent="0.45">
      <c r="F130" t="s">
        <v>247</v>
      </c>
      <c r="G130" t="s">
        <v>252</v>
      </c>
      <c r="H130" t="s">
        <v>253</v>
      </c>
      <c r="K130" s="4">
        <f t="shared" si="18"/>
        <v>3</v>
      </c>
      <c r="L130" s="4">
        <f t="shared" si="19"/>
        <v>7</v>
      </c>
      <c r="M130" s="4">
        <f t="shared" si="34"/>
        <v>5</v>
      </c>
      <c r="N130" s="4">
        <f t="shared" si="34"/>
        <v>0</v>
      </c>
      <c r="O130" t="str">
        <f t="shared" si="20"/>
        <v>H</v>
      </c>
      <c r="P130">
        <f t="shared" si="21"/>
        <v>10</v>
      </c>
      <c r="Q130" t="str">
        <f t="shared" si="22"/>
        <v>N</v>
      </c>
      <c r="R130">
        <f t="shared" si="23"/>
        <v>17</v>
      </c>
      <c r="S130" s="4">
        <f t="shared" si="24"/>
        <v>3</v>
      </c>
      <c r="T130" s="4">
        <f t="shared" si="25"/>
        <v>3</v>
      </c>
      <c r="U130" t="str">
        <f t="shared" si="26"/>
        <v>T</v>
      </c>
      <c r="V130">
        <f t="shared" si="27"/>
        <v>25</v>
      </c>
      <c r="W130" t="str">
        <f t="shared" si="28"/>
        <v>Z</v>
      </c>
      <c r="X130">
        <f t="shared" si="29"/>
        <v>32</v>
      </c>
      <c r="Y130" s="4">
        <f t="shared" si="30"/>
        <v>8</v>
      </c>
      <c r="Z130" t="str">
        <f t="shared" si="31"/>
        <v>3750338</v>
      </c>
      <c r="AA130" t="str">
        <f t="shared" si="32"/>
        <v xml:space="preserve">Dr.Öğr.Üyesi Hüseyin TOPUZ  </v>
      </c>
      <c r="AB130" t="str">
        <f t="shared" si="33"/>
        <v>3750338</v>
      </c>
    </row>
    <row r="131" spans="6:28" x14ac:dyDescent="0.45">
      <c r="F131" t="s">
        <v>248</v>
      </c>
      <c r="G131" t="s">
        <v>325</v>
      </c>
      <c r="H131" t="s">
        <v>326</v>
      </c>
      <c r="K131" s="4">
        <f t="shared" ref="K131:K172" si="35">IF(F131="Prof.Dr.",1,IF(F131="Doç.Dr.",2,IF(F131="Dr.Öğr.Üyesi",3,IF(F131="Öğr.Gör.Dr.",4,IF(F131="Öğr.Gör.",5,IF(F131="Arş.Gör.Dr.",6,IF(F131="Arş.Gör.",7,"YOK")))))))</f>
        <v>4</v>
      </c>
      <c r="L131" s="4">
        <f t="shared" ref="L131:L172" si="36">LEN(G131)</f>
        <v>5</v>
      </c>
      <c r="M131" s="4">
        <f t="shared" si="34"/>
        <v>5</v>
      </c>
      <c r="N131" s="4">
        <f t="shared" si="34"/>
        <v>0</v>
      </c>
      <c r="O131" t="str">
        <f t="shared" ref="O131:O172" si="37">MID(G131,1,1)</f>
        <v>O</v>
      </c>
      <c r="P131">
        <f t="shared" ref="P131:P172" si="38">MATCH(O131,$A$10:$A$41,0)</f>
        <v>18</v>
      </c>
      <c r="Q131" t="str">
        <f t="shared" ref="Q131:Q172" si="39">UPPER(MID(G131,LEN(G131),1))</f>
        <v>N</v>
      </c>
      <c r="R131">
        <f t="shared" ref="R131:R172" si="40">MATCH(Q131,$A$10:$A$41,0)</f>
        <v>17</v>
      </c>
      <c r="S131" s="4">
        <f t="shared" ref="S131:S172" si="41">MOD(P131,7)</f>
        <v>4</v>
      </c>
      <c r="T131" s="4">
        <f t="shared" ref="T131:T172" si="42">MOD(R131,7)</f>
        <v>3</v>
      </c>
      <c r="U131" t="str">
        <f t="shared" ref="U131:U172" si="43">MID(H131,1,1)</f>
        <v>Y</v>
      </c>
      <c r="V131">
        <f t="shared" ref="V131:V172" si="44">MATCH(U131,$A$10:$A$41,0)</f>
        <v>31</v>
      </c>
      <c r="W131" t="str">
        <f t="shared" ref="W131:W172" si="45">UPPER(MID(H131,LEN(H131),1))</f>
        <v>T</v>
      </c>
      <c r="X131">
        <f t="shared" ref="X131:X172" si="46">MATCH(W131,$A$10:$A$41,0)</f>
        <v>25</v>
      </c>
      <c r="Y131" s="4">
        <f t="shared" ref="Y131:Y172" si="47">MOD(V131*X131,9)</f>
        <v>1</v>
      </c>
      <c r="Z131" t="str">
        <f t="shared" ref="Z131:Z172" si="48">CONCATENATE(K131,L131,M131,N131,S131,T131,Y131)</f>
        <v>4550431</v>
      </c>
      <c r="AA131" t="str">
        <f t="shared" ref="AA131:AA172" si="49">CONCATENATE(F131," ",G131," ",H131," ",I131," ",J131)</f>
        <v xml:space="preserve">Öğr.Gör.Dr. OSMAN YAKIT  </v>
      </c>
      <c r="AB131" t="str">
        <f t="shared" ref="AB131:AB172" si="50">Z131</f>
        <v>4550431</v>
      </c>
    </row>
    <row r="132" spans="6:28" x14ac:dyDescent="0.45">
      <c r="F132" t="s">
        <v>248</v>
      </c>
      <c r="G132" t="s">
        <v>327</v>
      </c>
      <c r="H132" t="s">
        <v>328</v>
      </c>
      <c r="K132" s="4">
        <f t="shared" si="35"/>
        <v>4</v>
      </c>
      <c r="L132" s="4">
        <f t="shared" si="36"/>
        <v>6</v>
      </c>
      <c r="M132" s="4">
        <f t="shared" si="34"/>
        <v>7</v>
      </c>
      <c r="N132" s="4">
        <f t="shared" si="34"/>
        <v>0</v>
      </c>
      <c r="O132" t="str">
        <f t="shared" si="37"/>
        <v>İ</v>
      </c>
      <c r="P132">
        <f t="shared" si="38"/>
        <v>12</v>
      </c>
      <c r="Q132" t="str">
        <f t="shared" si="39"/>
        <v>L</v>
      </c>
      <c r="R132">
        <f t="shared" si="40"/>
        <v>15</v>
      </c>
      <c r="S132" s="4">
        <f t="shared" si="41"/>
        <v>5</v>
      </c>
      <c r="T132" s="4">
        <f t="shared" si="42"/>
        <v>1</v>
      </c>
      <c r="U132" t="str">
        <f t="shared" si="43"/>
        <v>K</v>
      </c>
      <c r="V132">
        <f t="shared" si="44"/>
        <v>14</v>
      </c>
      <c r="W132" t="str">
        <f t="shared" si="45"/>
        <v>N</v>
      </c>
      <c r="X132">
        <f t="shared" si="46"/>
        <v>17</v>
      </c>
      <c r="Y132" s="4">
        <f t="shared" si="47"/>
        <v>4</v>
      </c>
      <c r="Z132" t="str">
        <f t="shared" si="48"/>
        <v>4670514</v>
      </c>
      <c r="AA132" t="str">
        <f t="shared" si="49"/>
        <v xml:space="preserve">Öğr.Gör.Dr. İsmail KARAYÜN  </v>
      </c>
      <c r="AB132" t="str">
        <f t="shared" si="50"/>
        <v>4670514</v>
      </c>
    </row>
    <row r="133" spans="6:28" x14ac:dyDescent="0.45">
      <c r="F133" t="s">
        <v>249</v>
      </c>
      <c r="G133" t="s">
        <v>334</v>
      </c>
      <c r="H133" t="s">
        <v>297</v>
      </c>
      <c r="I133" t="s">
        <v>335</v>
      </c>
      <c r="K133" s="4">
        <f t="shared" si="35"/>
        <v>5</v>
      </c>
      <c r="L133" s="4">
        <f t="shared" si="36"/>
        <v>8</v>
      </c>
      <c r="M133" s="4">
        <f t="shared" si="34"/>
        <v>4</v>
      </c>
      <c r="N133" s="4">
        <f t="shared" si="34"/>
        <v>6</v>
      </c>
      <c r="O133" t="str">
        <f t="shared" si="37"/>
        <v>G</v>
      </c>
      <c r="P133">
        <f t="shared" si="38"/>
        <v>8</v>
      </c>
      <c r="Q133" t="str">
        <f t="shared" si="39"/>
        <v>N</v>
      </c>
      <c r="R133">
        <f t="shared" si="40"/>
        <v>17</v>
      </c>
      <c r="S133" s="4">
        <f t="shared" si="41"/>
        <v>1</v>
      </c>
      <c r="T133" s="4">
        <f t="shared" si="42"/>
        <v>3</v>
      </c>
      <c r="U133" t="str">
        <f t="shared" si="43"/>
        <v>A</v>
      </c>
      <c r="V133">
        <f t="shared" si="44"/>
        <v>1</v>
      </c>
      <c r="W133" t="str">
        <f t="shared" si="45"/>
        <v>I</v>
      </c>
      <c r="X133">
        <f t="shared" si="46"/>
        <v>11</v>
      </c>
      <c r="Y133" s="4">
        <f t="shared" si="47"/>
        <v>2</v>
      </c>
      <c r="Z133" t="str">
        <f t="shared" si="48"/>
        <v>5846132</v>
      </c>
      <c r="AA133" t="str">
        <f t="shared" si="49"/>
        <v xml:space="preserve">Öğr.Gör. GÜLSEREN ASLI SEÇMEN </v>
      </c>
      <c r="AB133" t="str">
        <f t="shared" si="50"/>
        <v>5846132</v>
      </c>
    </row>
    <row r="134" spans="6:28" x14ac:dyDescent="0.45">
      <c r="F134" t="s">
        <v>249</v>
      </c>
      <c r="G134" t="s">
        <v>336</v>
      </c>
      <c r="H134" t="s">
        <v>337</v>
      </c>
      <c r="I134" t="s">
        <v>338</v>
      </c>
      <c r="K134" s="4">
        <f t="shared" si="35"/>
        <v>5</v>
      </c>
      <c r="L134" s="4">
        <f t="shared" si="36"/>
        <v>5</v>
      </c>
      <c r="M134" s="4">
        <f t="shared" si="34"/>
        <v>3</v>
      </c>
      <c r="N134" s="4">
        <f t="shared" si="34"/>
        <v>3</v>
      </c>
      <c r="O134" t="str">
        <f t="shared" si="37"/>
        <v>D</v>
      </c>
      <c r="P134">
        <f t="shared" si="38"/>
        <v>5</v>
      </c>
      <c r="Q134" t="str">
        <f t="shared" si="39"/>
        <v>A</v>
      </c>
      <c r="R134">
        <f t="shared" si="40"/>
        <v>1</v>
      </c>
      <c r="S134" s="4">
        <f t="shared" si="41"/>
        <v>5</v>
      </c>
      <c r="T134" s="4">
        <f t="shared" si="42"/>
        <v>1</v>
      </c>
      <c r="U134" t="str">
        <f t="shared" si="43"/>
        <v>Ö</v>
      </c>
      <c r="V134">
        <f t="shared" si="44"/>
        <v>19</v>
      </c>
      <c r="W134" t="str">
        <f t="shared" si="45"/>
        <v>E</v>
      </c>
      <c r="X134">
        <f t="shared" si="46"/>
        <v>6</v>
      </c>
      <c r="Y134" s="4">
        <f t="shared" si="47"/>
        <v>6</v>
      </c>
      <c r="Z134" t="str">
        <f t="shared" si="48"/>
        <v>5533516</v>
      </c>
      <c r="AA134" t="str">
        <f t="shared" si="49"/>
        <v xml:space="preserve">Öğr.Gör. DERYA ÖGE SET </v>
      </c>
      <c r="AB134" t="str">
        <f t="shared" si="50"/>
        <v>5533516</v>
      </c>
    </row>
    <row r="135" spans="6:28" x14ac:dyDescent="0.45">
      <c r="F135" t="s">
        <v>246</v>
      </c>
      <c r="G135" t="s">
        <v>339</v>
      </c>
      <c r="H135" t="s">
        <v>340</v>
      </c>
      <c r="K135" s="4">
        <f t="shared" si="35"/>
        <v>2</v>
      </c>
      <c r="L135" s="4">
        <f t="shared" si="36"/>
        <v>5</v>
      </c>
      <c r="M135" s="4">
        <f t="shared" si="34"/>
        <v>6</v>
      </c>
      <c r="N135" s="4">
        <f t="shared" si="34"/>
        <v>0</v>
      </c>
      <c r="O135" t="str">
        <f t="shared" si="37"/>
        <v>G</v>
      </c>
      <c r="P135">
        <f t="shared" si="38"/>
        <v>8</v>
      </c>
      <c r="Q135" t="str">
        <f t="shared" si="39"/>
        <v>Y</v>
      </c>
      <c r="R135">
        <f t="shared" si="40"/>
        <v>31</v>
      </c>
      <c r="S135" s="4">
        <f t="shared" si="41"/>
        <v>1</v>
      </c>
      <c r="T135" s="4">
        <f t="shared" si="42"/>
        <v>3</v>
      </c>
      <c r="U135" t="str">
        <f t="shared" si="43"/>
        <v>T</v>
      </c>
      <c r="V135">
        <f t="shared" si="44"/>
        <v>25</v>
      </c>
      <c r="W135" t="str">
        <f t="shared" si="45"/>
        <v>Ç</v>
      </c>
      <c r="X135">
        <f t="shared" si="46"/>
        <v>4</v>
      </c>
      <c r="Y135" s="4">
        <f t="shared" si="47"/>
        <v>1</v>
      </c>
      <c r="Z135" t="str">
        <f t="shared" si="48"/>
        <v>2560131</v>
      </c>
      <c r="AA135" t="str">
        <f t="shared" si="49"/>
        <v xml:space="preserve">Doç.Dr. GÜRAY TONGUÇ  </v>
      </c>
      <c r="AB135" t="str">
        <f t="shared" si="50"/>
        <v>2560131</v>
      </c>
    </row>
    <row r="136" spans="6:28" x14ac:dyDescent="0.45">
      <c r="F136" t="s">
        <v>246</v>
      </c>
      <c r="G136" t="s">
        <v>339</v>
      </c>
      <c r="H136" t="s">
        <v>340</v>
      </c>
      <c r="K136" s="4">
        <f t="shared" si="35"/>
        <v>2</v>
      </c>
      <c r="L136" s="4">
        <f t="shared" si="36"/>
        <v>5</v>
      </c>
      <c r="M136" s="4">
        <f t="shared" si="34"/>
        <v>6</v>
      </c>
      <c r="N136" s="4">
        <f t="shared" si="34"/>
        <v>0</v>
      </c>
      <c r="O136" t="str">
        <f t="shared" si="37"/>
        <v>G</v>
      </c>
      <c r="P136">
        <f t="shared" si="38"/>
        <v>8</v>
      </c>
      <c r="Q136" t="str">
        <f t="shared" si="39"/>
        <v>Y</v>
      </c>
      <c r="R136">
        <f t="shared" si="40"/>
        <v>31</v>
      </c>
      <c r="S136" s="4">
        <f t="shared" si="41"/>
        <v>1</v>
      </c>
      <c r="T136" s="4">
        <f t="shared" si="42"/>
        <v>3</v>
      </c>
      <c r="U136" t="str">
        <f t="shared" si="43"/>
        <v>T</v>
      </c>
      <c r="V136">
        <f t="shared" si="44"/>
        <v>25</v>
      </c>
      <c r="W136" t="str">
        <f t="shared" si="45"/>
        <v>Ç</v>
      </c>
      <c r="X136">
        <f t="shared" si="46"/>
        <v>4</v>
      </c>
      <c r="Y136" s="4">
        <f t="shared" si="47"/>
        <v>1</v>
      </c>
      <c r="Z136" t="str">
        <f t="shared" si="48"/>
        <v>2560131</v>
      </c>
      <c r="AA136" t="str">
        <f t="shared" si="49"/>
        <v xml:space="preserve">Doç.Dr. GÜRAY TONGUÇ  </v>
      </c>
      <c r="AB136" t="str">
        <f t="shared" si="50"/>
        <v>2560131</v>
      </c>
    </row>
    <row r="137" spans="6:28" x14ac:dyDescent="0.45">
      <c r="F137" t="s">
        <v>246</v>
      </c>
      <c r="G137" t="s">
        <v>339</v>
      </c>
      <c r="H137" t="s">
        <v>340</v>
      </c>
      <c r="K137" s="4">
        <f t="shared" si="35"/>
        <v>2</v>
      </c>
      <c r="L137" s="4">
        <f t="shared" si="36"/>
        <v>5</v>
      </c>
      <c r="M137" s="4">
        <f t="shared" si="34"/>
        <v>6</v>
      </c>
      <c r="N137" s="4">
        <f t="shared" si="34"/>
        <v>0</v>
      </c>
      <c r="O137" t="str">
        <f t="shared" si="37"/>
        <v>G</v>
      </c>
      <c r="P137">
        <f t="shared" si="38"/>
        <v>8</v>
      </c>
      <c r="Q137" t="str">
        <f t="shared" si="39"/>
        <v>Y</v>
      </c>
      <c r="R137">
        <f t="shared" si="40"/>
        <v>31</v>
      </c>
      <c r="S137" s="4">
        <f t="shared" si="41"/>
        <v>1</v>
      </c>
      <c r="T137" s="4">
        <f t="shared" si="42"/>
        <v>3</v>
      </c>
      <c r="U137" t="str">
        <f t="shared" si="43"/>
        <v>T</v>
      </c>
      <c r="V137">
        <f t="shared" si="44"/>
        <v>25</v>
      </c>
      <c r="W137" t="str">
        <f t="shared" si="45"/>
        <v>Ç</v>
      </c>
      <c r="X137">
        <f t="shared" si="46"/>
        <v>4</v>
      </c>
      <c r="Y137" s="4">
        <f t="shared" si="47"/>
        <v>1</v>
      </c>
      <c r="Z137" t="str">
        <f t="shared" si="48"/>
        <v>2560131</v>
      </c>
      <c r="AA137" t="str">
        <f t="shared" si="49"/>
        <v xml:space="preserve">Doç.Dr. GÜRAY TONGUÇ  </v>
      </c>
      <c r="AB137" t="str">
        <f t="shared" si="50"/>
        <v>2560131</v>
      </c>
    </row>
    <row r="138" spans="6:28" x14ac:dyDescent="0.45">
      <c r="F138" t="s">
        <v>246</v>
      </c>
      <c r="G138" t="s">
        <v>339</v>
      </c>
      <c r="H138" t="s">
        <v>340</v>
      </c>
      <c r="K138" s="4">
        <f t="shared" si="35"/>
        <v>2</v>
      </c>
      <c r="L138" s="4">
        <f t="shared" si="36"/>
        <v>5</v>
      </c>
      <c r="M138" s="4">
        <f t="shared" si="34"/>
        <v>6</v>
      </c>
      <c r="N138" s="4">
        <f t="shared" si="34"/>
        <v>0</v>
      </c>
      <c r="O138" t="str">
        <f t="shared" si="37"/>
        <v>G</v>
      </c>
      <c r="P138">
        <f t="shared" si="38"/>
        <v>8</v>
      </c>
      <c r="Q138" t="str">
        <f t="shared" si="39"/>
        <v>Y</v>
      </c>
      <c r="R138">
        <f t="shared" si="40"/>
        <v>31</v>
      </c>
      <c r="S138" s="4">
        <f t="shared" si="41"/>
        <v>1</v>
      </c>
      <c r="T138" s="4">
        <f t="shared" si="42"/>
        <v>3</v>
      </c>
      <c r="U138" t="str">
        <f t="shared" si="43"/>
        <v>T</v>
      </c>
      <c r="V138">
        <f t="shared" si="44"/>
        <v>25</v>
      </c>
      <c r="W138" t="str">
        <f t="shared" si="45"/>
        <v>Ç</v>
      </c>
      <c r="X138">
        <f t="shared" si="46"/>
        <v>4</v>
      </c>
      <c r="Y138" s="4">
        <f t="shared" si="47"/>
        <v>1</v>
      </c>
      <c r="Z138" t="str">
        <f t="shared" si="48"/>
        <v>2560131</v>
      </c>
      <c r="AA138" t="str">
        <f t="shared" si="49"/>
        <v xml:space="preserve">Doç.Dr. GÜRAY TONGUÇ  </v>
      </c>
      <c r="AB138" t="str">
        <f t="shared" si="50"/>
        <v>2560131</v>
      </c>
    </row>
    <row r="139" spans="6:28" x14ac:dyDescent="0.45">
      <c r="F139" t="s">
        <v>249</v>
      </c>
      <c r="G139" t="s">
        <v>341</v>
      </c>
      <c r="H139" t="s">
        <v>342</v>
      </c>
      <c r="K139" s="4">
        <f t="shared" si="35"/>
        <v>5</v>
      </c>
      <c r="L139" s="4">
        <f t="shared" si="36"/>
        <v>4</v>
      </c>
      <c r="M139" s="4">
        <f t="shared" si="34"/>
        <v>5</v>
      </c>
      <c r="N139" s="4">
        <f t="shared" si="34"/>
        <v>0</v>
      </c>
      <c r="O139" t="str">
        <f t="shared" si="37"/>
        <v>E</v>
      </c>
      <c r="P139">
        <f t="shared" si="38"/>
        <v>6</v>
      </c>
      <c r="Q139" t="str">
        <f t="shared" si="39"/>
        <v>A</v>
      </c>
      <c r="R139">
        <f t="shared" si="40"/>
        <v>1</v>
      </c>
      <c r="S139" s="4">
        <f t="shared" si="41"/>
        <v>6</v>
      </c>
      <c r="T139" s="4">
        <f t="shared" si="42"/>
        <v>1</v>
      </c>
      <c r="U139" t="str">
        <f t="shared" si="43"/>
        <v>D</v>
      </c>
      <c r="V139">
        <f t="shared" si="44"/>
        <v>5</v>
      </c>
      <c r="W139" t="str">
        <f t="shared" si="45"/>
        <v>Ş</v>
      </c>
      <c r="X139">
        <f t="shared" si="46"/>
        <v>24</v>
      </c>
      <c r="Y139" s="4">
        <f t="shared" si="47"/>
        <v>3</v>
      </c>
      <c r="Z139" t="str">
        <f t="shared" si="48"/>
        <v>5450613</v>
      </c>
      <c r="AA139" t="str">
        <f t="shared" si="49"/>
        <v xml:space="preserve">Öğr.Gör. ESRA DÖNÜŞ  </v>
      </c>
      <c r="AB139" t="str">
        <f t="shared" si="50"/>
        <v>5450613</v>
      </c>
    </row>
    <row r="140" spans="6:28" x14ac:dyDescent="0.45">
      <c r="F140" t="s">
        <v>246</v>
      </c>
      <c r="G140" t="s">
        <v>343</v>
      </c>
      <c r="H140" t="s">
        <v>344</v>
      </c>
      <c r="K140" s="4">
        <f t="shared" si="35"/>
        <v>2</v>
      </c>
      <c r="L140" s="4">
        <f t="shared" si="36"/>
        <v>4</v>
      </c>
      <c r="M140" s="4">
        <f t="shared" si="34"/>
        <v>5</v>
      </c>
      <c r="N140" s="4">
        <f t="shared" si="34"/>
        <v>0</v>
      </c>
      <c r="O140" t="str">
        <f t="shared" si="37"/>
        <v>C</v>
      </c>
      <c r="P140">
        <f t="shared" si="38"/>
        <v>3</v>
      </c>
      <c r="Q140" t="str">
        <f t="shared" si="39"/>
        <v>K</v>
      </c>
      <c r="R140">
        <f t="shared" si="40"/>
        <v>14</v>
      </c>
      <c r="S140" s="4">
        <f t="shared" si="41"/>
        <v>3</v>
      </c>
      <c r="T140" s="4">
        <f t="shared" si="42"/>
        <v>0</v>
      </c>
      <c r="U140" t="str">
        <f t="shared" si="43"/>
        <v>T</v>
      </c>
      <c r="V140">
        <f t="shared" si="44"/>
        <v>25</v>
      </c>
      <c r="W140" t="str">
        <f t="shared" si="45"/>
        <v>N</v>
      </c>
      <c r="X140">
        <f t="shared" si="46"/>
        <v>17</v>
      </c>
      <c r="Y140" s="4">
        <f t="shared" si="47"/>
        <v>2</v>
      </c>
      <c r="Z140" t="str">
        <f t="shared" si="48"/>
        <v>2450302</v>
      </c>
      <c r="AA140" t="str">
        <f t="shared" si="49"/>
        <v xml:space="preserve">Doç.Dr. CENK TUFAN  </v>
      </c>
      <c r="AB140" t="str">
        <f t="shared" si="50"/>
        <v>2450302</v>
      </c>
    </row>
    <row r="141" spans="6:28" x14ac:dyDescent="0.45">
      <c r="F141" t="s">
        <v>246</v>
      </c>
      <c r="G141" t="s">
        <v>339</v>
      </c>
      <c r="H141" t="s">
        <v>340</v>
      </c>
      <c r="K141" s="4">
        <f t="shared" si="35"/>
        <v>2</v>
      </c>
      <c r="L141" s="4">
        <f t="shared" si="36"/>
        <v>5</v>
      </c>
      <c r="M141" s="4">
        <f t="shared" si="34"/>
        <v>6</v>
      </c>
      <c r="N141" s="4">
        <f t="shared" si="34"/>
        <v>0</v>
      </c>
      <c r="O141" t="str">
        <f t="shared" si="37"/>
        <v>G</v>
      </c>
      <c r="P141">
        <f t="shared" si="38"/>
        <v>8</v>
      </c>
      <c r="Q141" t="str">
        <f t="shared" si="39"/>
        <v>Y</v>
      </c>
      <c r="R141">
        <f t="shared" si="40"/>
        <v>31</v>
      </c>
      <c r="S141" s="4">
        <f t="shared" si="41"/>
        <v>1</v>
      </c>
      <c r="T141" s="4">
        <f t="shared" si="42"/>
        <v>3</v>
      </c>
      <c r="U141" t="str">
        <f t="shared" si="43"/>
        <v>T</v>
      </c>
      <c r="V141">
        <f t="shared" si="44"/>
        <v>25</v>
      </c>
      <c r="W141" t="str">
        <f t="shared" si="45"/>
        <v>Ç</v>
      </c>
      <c r="X141">
        <f t="shared" si="46"/>
        <v>4</v>
      </c>
      <c r="Y141" s="4">
        <f t="shared" si="47"/>
        <v>1</v>
      </c>
      <c r="Z141" t="str">
        <f t="shared" si="48"/>
        <v>2560131</v>
      </c>
      <c r="AA141" t="str">
        <f t="shared" si="49"/>
        <v xml:space="preserve">Doç.Dr. GÜRAY TONGUÇ  </v>
      </c>
      <c r="AB141" t="str">
        <f t="shared" si="50"/>
        <v>2560131</v>
      </c>
    </row>
    <row r="142" spans="6:28" x14ac:dyDescent="0.45">
      <c r="F142" t="s">
        <v>246</v>
      </c>
      <c r="G142" t="s">
        <v>339</v>
      </c>
      <c r="H142" t="s">
        <v>340</v>
      </c>
      <c r="K142" s="4">
        <f t="shared" si="35"/>
        <v>2</v>
      </c>
      <c r="L142" s="4">
        <f t="shared" si="36"/>
        <v>5</v>
      </c>
      <c r="M142" s="4">
        <f t="shared" si="34"/>
        <v>6</v>
      </c>
      <c r="N142" s="4">
        <f t="shared" si="34"/>
        <v>0</v>
      </c>
      <c r="O142" t="str">
        <f t="shared" si="37"/>
        <v>G</v>
      </c>
      <c r="P142">
        <f t="shared" si="38"/>
        <v>8</v>
      </c>
      <c r="Q142" t="str">
        <f t="shared" si="39"/>
        <v>Y</v>
      </c>
      <c r="R142">
        <f t="shared" si="40"/>
        <v>31</v>
      </c>
      <c r="S142" s="4">
        <f t="shared" si="41"/>
        <v>1</v>
      </c>
      <c r="T142" s="4">
        <f t="shared" si="42"/>
        <v>3</v>
      </c>
      <c r="U142" t="str">
        <f t="shared" si="43"/>
        <v>T</v>
      </c>
      <c r="V142">
        <f t="shared" si="44"/>
        <v>25</v>
      </c>
      <c r="W142" t="str">
        <f t="shared" si="45"/>
        <v>Ç</v>
      </c>
      <c r="X142">
        <f t="shared" si="46"/>
        <v>4</v>
      </c>
      <c r="Y142" s="4">
        <f t="shared" si="47"/>
        <v>1</v>
      </c>
      <c r="Z142" t="str">
        <f t="shared" si="48"/>
        <v>2560131</v>
      </c>
      <c r="AA142" t="str">
        <f t="shared" si="49"/>
        <v xml:space="preserve">Doç.Dr. GÜRAY TONGUÇ  </v>
      </c>
      <c r="AB142" t="str">
        <f t="shared" si="50"/>
        <v>2560131</v>
      </c>
    </row>
    <row r="143" spans="6:28" x14ac:dyDescent="0.45">
      <c r="F143" t="s">
        <v>246</v>
      </c>
      <c r="G143" t="s">
        <v>345</v>
      </c>
      <c r="H143" t="s">
        <v>346</v>
      </c>
      <c r="I143" t="s">
        <v>347</v>
      </c>
      <c r="K143" s="4">
        <f t="shared" si="35"/>
        <v>2</v>
      </c>
      <c r="L143" s="4">
        <f t="shared" si="36"/>
        <v>5</v>
      </c>
      <c r="M143" s="4">
        <f t="shared" si="34"/>
        <v>6</v>
      </c>
      <c r="N143" s="4">
        <f t="shared" si="34"/>
        <v>5</v>
      </c>
      <c r="O143" t="str">
        <f t="shared" si="37"/>
        <v>K</v>
      </c>
      <c r="P143">
        <f t="shared" si="38"/>
        <v>14</v>
      </c>
      <c r="Q143" t="str">
        <f t="shared" si="39"/>
        <v>M</v>
      </c>
      <c r="R143">
        <f t="shared" si="40"/>
        <v>16</v>
      </c>
      <c r="S143" s="4">
        <f t="shared" si="41"/>
        <v>0</v>
      </c>
      <c r="T143" s="4">
        <f t="shared" si="42"/>
        <v>2</v>
      </c>
      <c r="U143" t="str">
        <f t="shared" si="43"/>
        <v>K</v>
      </c>
      <c r="V143">
        <f t="shared" si="44"/>
        <v>14</v>
      </c>
      <c r="W143" t="str">
        <f t="shared" si="45"/>
        <v>T</v>
      </c>
      <c r="X143">
        <f t="shared" si="46"/>
        <v>25</v>
      </c>
      <c r="Y143" s="4">
        <f t="shared" si="47"/>
        <v>8</v>
      </c>
      <c r="Z143" t="str">
        <f t="shared" si="48"/>
        <v>2565028</v>
      </c>
      <c r="AA143" t="str">
        <f t="shared" si="49"/>
        <v xml:space="preserve">Doç.Dr. KERİM KÜRŞAT ÇEVİK </v>
      </c>
      <c r="AB143" t="str">
        <f t="shared" si="50"/>
        <v>2565028</v>
      </c>
    </row>
    <row r="144" spans="6:28" x14ac:dyDescent="0.45">
      <c r="F144" t="s">
        <v>246</v>
      </c>
      <c r="G144" t="s">
        <v>322</v>
      </c>
      <c r="H144" t="s">
        <v>323</v>
      </c>
      <c r="I144" t="s">
        <v>324</v>
      </c>
      <c r="K144" s="4">
        <f t="shared" si="35"/>
        <v>2</v>
      </c>
      <c r="L144" s="4">
        <f t="shared" si="36"/>
        <v>5</v>
      </c>
      <c r="M144" s="4">
        <f t="shared" si="34"/>
        <v>6</v>
      </c>
      <c r="N144" s="4">
        <f t="shared" si="34"/>
        <v>4</v>
      </c>
      <c r="O144" t="str">
        <f t="shared" si="37"/>
        <v>A</v>
      </c>
      <c r="P144">
        <f t="shared" si="38"/>
        <v>1</v>
      </c>
      <c r="Q144" t="str">
        <f t="shared" si="39"/>
        <v>E</v>
      </c>
      <c r="R144">
        <f t="shared" si="40"/>
        <v>6</v>
      </c>
      <c r="S144" s="4">
        <f t="shared" si="41"/>
        <v>1</v>
      </c>
      <c r="T144" s="4">
        <f t="shared" si="42"/>
        <v>6</v>
      </c>
      <c r="U144" t="str">
        <f t="shared" si="43"/>
        <v>B</v>
      </c>
      <c r="V144">
        <f t="shared" si="44"/>
        <v>2</v>
      </c>
      <c r="W144" t="str">
        <f t="shared" si="45"/>
        <v>N</v>
      </c>
      <c r="X144">
        <f t="shared" si="46"/>
        <v>17</v>
      </c>
      <c r="Y144" s="4">
        <f t="shared" si="47"/>
        <v>7</v>
      </c>
      <c r="Z144" t="str">
        <f t="shared" si="48"/>
        <v>2564167</v>
      </c>
      <c r="AA144" t="str">
        <f t="shared" si="49"/>
        <v xml:space="preserve">Doç.Dr. ATİYE BEYHAN AKAY </v>
      </c>
      <c r="AB144" t="str">
        <f t="shared" si="50"/>
        <v>2564167</v>
      </c>
    </row>
    <row r="145" spans="6:28" x14ac:dyDescent="0.45">
      <c r="F145" t="s">
        <v>246</v>
      </c>
      <c r="G145" t="s">
        <v>348</v>
      </c>
      <c r="H145" t="s">
        <v>349</v>
      </c>
      <c r="K145" s="4">
        <f t="shared" si="35"/>
        <v>2</v>
      </c>
      <c r="L145" s="4">
        <f t="shared" si="36"/>
        <v>6</v>
      </c>
      <c r="M145" s="4">
        <f t="shared" ref="M145:N172" si="51">IF(LEN(H145)&gt;=10,MOD(LEN(H145),10),LEN(H145))</f>
        <v>5</v>
      </c>
      <c r="N145" s="4">
        <f t="shared" si="51"/>
        <v>0</v>
      </c>
      <c r="O145" t="str">
        <f t="shared" si="37"/>
        <v>T</v>
      </c>
      <c r="P145">
        <f t="shared" si="38"/>
        <v>25</v>
      </c>
      <c r="Q145" t="str">
        <f t="shared" si="39"/>
        <v>N</v>
      </c>
      <c r="R145">
        <f t="shared" si="40"/>
        <v>17</v>
      </c>
      <c r="S145" s="4">
        <f t="shared" si="41"/>
        <v>4</v>
      </c>
      <c r="T145" s="4">
        <f t="shared" si="42"/>
        <v>3</v>
      </c>
      <c r="U145" t="str">
        <f t="shared" si="43"/>
        <v>Y</v>
      </c>
      <c r="V145">
        <f t="shared" si="44"/>
        <v>31</v>
      </c>
      <c r="W145" t="str">
        <f t="shared" si="45"/>
        <v>K</v>
      </c>
      <c r="X145">
        <f t="shared" si="46"/>
        <v>14</v>
      </c>
      <c r="Y145" s="4">
        <f t="shared" si="47"/>
        <v>2</v>
      </c>
      <c r="Z145" t="str">
        <f t="shared" si="48"/>
        <v>2650432</v>
      </c>
      <c r="AA145" t="str">
        <f t="shared" si="49"/>
        <v xml:space="preserve">Doç.Dr. TAYFUN YÖRÜK  </v>
      </c>
      <c r="AB145" t="str">
        <f t="shared" si="50"/>
        <v>2650432</v>
      </c>
    </row>
    <row r="146" spans="6:28" x14ac:dyDescent="0.45">
      <c r="F146" t="s">
        <v>246</v>
      </c>
      <c r="G146" t="s">
        <v>348</v>
      </c>
      <c r="H146" t="s">
        <v>349</v>
      </c>
      <c r="K146" s="4">
        <f t="shared" si="35"/>
        <v>2</v>
      </c>
      <c r="L146" s="4">
        <f t="shared" si="36"/>
        <v>6</v>
      </c>
      <c r="M146" s="4">
        <f t="shared" si="51"/>
        <v>5</v>
      </c>
      <c r="N146" s="4">
        <f t="shared" si="51"/>
        <v>0</v>
      </c>
      <c r="O146" t="str">
        <f t="shared" si="37"/>
        <v>T</v>
      </c>
      <c r="P146">
        <f t="shared" si="38"/>
        <v>25</v>
      </c>
      <c r="Q146" t="str">
        <f t="shared" si="39"/>
        <v>N</v>
      </c>
      <c r="R146">
        <f t="shared" si="40"/>
        <v>17</v>
      </c>
      <c r="S146" s="4">
        <f t="shared" si="41"/>
        <v>4</v>
      </c>
      <c r="T146" s="4">
        <f t="shared" si="42"/>
        <v>3</v>
      </c>
      <c r="U146" t="str">
        <f t="shared" si="43"/>
        <v>Y</v>
      </c>
      <c r="V146">
        <f t="shared" si="44"/>
        <v>31</v>
      </c>
      <c r="W146" t="str">
        <f t="shared" si="45"/>
        <v>K</v>
      </c>
      <c r="X146">
        <f t="shared" si="46"/>
        <v>14</v>
      </c>
      <c r="Y146" s="4">
        <f t="shared" si="47"/>
        <v>2</v>
      </c>
      <c r="Z146" t="str">
        <f t="shared" si="48"/>
        <v>2650432</v>
      </c>
      <c r="AA146" t="str">
        <f t="shared" si="49"/>
        <v xml:space="preserve">Doç.Dr. TAYFUN YÖRÜK  </v>
      </c>
      <c r="AB146" t="str">
        <f t="shared" si="50"/>
        <v>2650432</v>
      </c>
    </row>
    <row r="147" spans="6:28" x14ac:dyDescent="0.45">
      <c r="F147" t="s">
        <v>246</v>
      </c>
      <c r="G147" t="s">
        <v>345</v>
      </c>
      <c r="H147" t="s">
        <v>346</v>
      </c>
      <c r="I147" t="s">
        <v>347</v>
      </c>
      <c r="K147" s="4">
        <f t="shared" si="35"/>
        <v>2</v>
      </c>
      <c r="L147" s="4">
        <f t="shared" si="36"/>
        <v>5</v>
      </c>
      <c r="M147" s="4">
        <f t="shared" si="51"/>
        <v>6</v>
      </c>
      <c r="N147" s="4">
        <f t="shared" si="51"/>
        <v>5</v>
      </c>
      <c r="O147" t="str">
        <f t="shared" si="37"/>
        <v>K</v>
      </c>
      <c r="P147">
        <f t="shared" si="38"/>
        <v>14</v>
      </c>
      <c r="Q147" t="str">
        <f t="shared" si="39"/>
        <v>M</v>
      </c>
      <c r="R147">
        <f t="shared" si="40"/>
        <v>16</v>
      </c>
      <c r="S147" s="4">
        <f t="shared" si="41"/>
        <v>0</v>
      </c>
      <c r="T147" s="4">
        <f t="shared" si="42"/>
        <v>2</v>
      </c>
      <c r="U147" t="str">
        <f t="shared" si="43"/>
        <v>K</v>
      </c>
      <c r="V147">
        <f t="shared" si="44"/>
        <v>14</v>
      </c>
      <c r="W147" t="str">
        <f t="shared" si="45"/>
        <v>T</v>
      </c>
      <c r="X147">
        <f t="shared" si="46"/>
        <v>25</v>
      </c>
      <c r="Y147" s="4">
        <f t="shared" si="47"/>
        <v>8</v>
      </c>
      <c r="Z147" t="str">
        <f t="shared" si="48"/>
        <v>2565028</v>
      </c>
      <c r="AA147" t="str">
        <f t="shared" si="49"/>
        <v xml:space="preserve">Doç.Dr. KERİM KÜRŞAT ÇEVİK </v>
      </c>
      <c r="AB147" t="str">
        <f t="shared" si="50"/>
        <v>2565028</v>
      </c>
    </row>
    <row r="148" spans="6:28" x14ac:dyDescent="0.45">
      <c r="F148" t="s">
        <v>245</v>
      </c>
      <c r="G148" t="s">
        <v>350</v>
      </c>
      <c r="H148" t="s">
        <v>332</v>
      </c>
      <c r="K148" s="4">
        <f t="shared" si="35"/>
        <v>1</v>
      </c>
      <c r="L148" s="4">
        <f t="shared" si="36"/>
        <v>6</v>
      </c>
      <c r="M148" s="4">
        <f t="shared" si="51"/>
        <v>5</v>
      </c>
      <c r="N148" s="4">
        <f t="shared" si="51"/>
        <v>0</v>
      </c>
      <c r="O148" t="str">
        <f t="shared" si="37"/>
        <v>S</v>
      </c>
      <c r="P148">
        <f t="shared" si="38"/>
        <v>23</v>
      </c>
      <c r="Q148" t="str">
        <f t="shared" si="39"/>
        <v>N</v>
      </c>
      <c r="R148">
        <f t="shared" si="40"/>
        <v>17</v>
      </c>
      <c r="S148" s="4">
        <f t="shared" si="41"/>
        <v>2</v>
      </c>
      <c r="T148" s="4">
        <f t="shared" si="42"/>
        <v>3</v>
      </c>
      <c r="U148" t="str">
        <f t="shared" si="43"/>
        <v>I</v>
      </c>
      <c r="V148">
        <f t="shared" si="44"/>
        <v>11</v>
      </c>
      <c r="W148" t="str">
        <f t="shared" si="45"/>
        <v>K</v>
      </c>
      <c r="X148">
        <f t="shared" si="46"/>
        <v>14</v>
      </c>
      <c r="Y148" s="4">
        <f t="shared" si="47"/>
        <v>1</v>
      </c>
      <c r="Z148" t="str">
        <f t="shared" si="48"/>
        <v>1650231</v>
      </c>
      <c r="AA148" t="str">
        <f t="shared" si="49"/>
        <v xml:space="preserve">Prof.Dr. Sezgin IRMAK  </v>
      </c>
      <c r="AB148" t="str">
        <f t="shared" si="50"/>
        <v>1650231</v>
      </c>
    </row>
    <row r="149" spans="6:28" x14ac:dyDescent="0.45">
      <c r="F149" t="s">
        <v>245</v>
      </c>
      <c r="G149" t="s">
        <v>351</v>
      </c>
      <c r="H149" t="s">
        <v>352</v>
      </c>
      <c r="K149" s="4">
        <f t="shared" si="35"/>
        <v>1</v>
      </c>
      <c r="L149" s="4">
        <f t="shared" si="36"/>
        <v>4</v>
      </c>
      <c r="M149" s="4">
        <f t="shared" si="51"/>
        <v>5</v>
      </c>
      <c r="N149" s="4">
        <f t="shared" si="51"/>
        <v>0</v>
      </c>
      <c r="O149" t="str">
        <f t="shared" si="37"/>
        <v>Ö</v>
      </c>
      <c r="P149">
        <f t="shared" si="38"/>
        <v>19</v>
      </c>
      <c r="Q149" t="str">
        <f t="shared" si="39"/>
        <v>R</v>
      </c>
      <c r="R149">
        <f t="shared" si="40"/>
        <v>22</v>
      </c>
      <c r="S149" s="4">
        <f t="shared" si="41"/>
        <v>5</v>
      </c>
      <c r="T149" s="4">
        <f t="shared" si="42"/>
        <v>1</v>
      </c>
      <c r="U149" t="str">
        <f t="shared" si="43"/>
        <v>T</v>
      </c>
      <c r="V149">
        <f t="shared" si="44"/>
        <v>25</v>
      </c>
      <c r="W149" t="str">
        <f t="shared" si="45"/>
        <v>N</v>
      </c>
      <c r="X149">
        <f t="shared" si="46"/>
        <v>17</v>
      </c>
      <c r="Y149" s="4">
        <f t="shared" si="47"/>
        <v>2</v>
      </c>
      <c r="Z149" t="str">
        <f t="shared" si="48"/>
        <v>1450512</v>
      </c>
      <c r="AA149" t="str">
        <f t="shared" si="49"/>
        <v xml:space="preserve">Prof.Dr. ÖMÜR TOSUN  </v>
      </c>
      <c r="AB149" t="str">
        <f t="shared" si="50"/>
        <v>1450512</v>
      </c>
    </row>
    <row r="150" spans="6:28" x14ac:dyDescent="0.45">
      <c r="F150" t="s">
        <v>246</v>
      </c>
      <c r="G150" t="s">
        <v>256</v>
      </c>
      <c r="H150" t="s">
        <v>257</v>
      </c>
      <c r="K150" s="4">
        <f t="shared" si="35"/>
        <v>2</v>
      </c>
      <c r="L150" s="4">
        <f t="shared" si="36"/>
        <v>4</v>
      </c>
      <c r="M150" s="4">
        <f t="shared" si="51"/>
        <v>0</v>
      </c>
      <c r="N150" s="4">
        <f t="shared" si="51"/>
        <v>0</v>
      </c>
      <c r="O150" t="str">
        <f t="shared" si="37"/>
        <v>N</v>
      </c>
      <c r="P150">
        <f t="shared" si="38"/>
        <v>17</v>
      </c>
      <c r="Q150" t="str">
        <f t="shared" si="39"/>
        <v>İ</v>
      </c>
      <c r="R150">
        <f t="shared" si="40"/>
        <v>12</v>
      </c>
      <c r="S150" s="4">
        <f t="shared" si="41"/>
        <v>3</v>
      </c>
      <c r="T150" s="4">
        <f t="shared" si="42"/>
        <v>5</v>
      </c>
      <c r="U150" t="str">
        <f t="shared" si="43"/>
        <v>A</v>
      </c>
      <c r="V150">
        <f t="shared" si="44"/>
        <v>1</v>
      </c>
      <c r="W150" t="str">
        <f t="shared" si="45"/>
        <v>L</v>
      </c>
      <c r="X150">
        <f t="shared" si="46"/>
        <v>15</v>
      </c>
      <c r="Y150" s="4">
        <f t="shared" si="47"/>
        <v>6</v>
      </c>
      <c r="Z150" t="str">
        <f t="shared" si="48"/>
        <v>2400356</v>
      </c>
      <c r="AA150" t="str">
        <f t="shared" si="49"/>
        <v xml:space="preserve">Doç.Dr. NURİ AVŞARLIGİL  </v>
      </c>
      <c r="AB150" t="str">
        <f t="shared" si="50"/>
        <v>2400356</v>
      </c>
    </row>
    <row r="151" spans="6:28" x14ac:dyDescent="0.45">
      <c r="F151" t="s">
        <v>246</v>
      </c>
      <c r="G151" t="s">
        <v>343</v>
      </c>
      <c r="H151" t="s">
        <v>344</v>
      </c>
      <c r="K151" s="4">
        <f t="shared" si="35"/>
        <v>2</v>
      </c>
      <c r="L151" s="4">
        <f t="shared" si="36"/>
        <v>4</v>
      </c>
      <c r="M151" s="4">
        <f t="shared" si="51"/>
        <v>5</v>
      </c>
      <c r="N151" s="4">
        <f t="shared" si="51"/>
        <v>0</v>
      </c>
      <c r="O151" t="str">
        <f t="shared" si="37"/>
        <v>C</v>
      </c>
      <c r="P151">
        <f t="shared" si="38"/>
        <v>3</v>
      </c>
      <c r="Q151" t="str">
        <f t="shared" si="39"/>
        <v>K</v>
      </c>
      <c r="R151">
        <f t="shared" si="40"/>
        <v>14</v>
      </c>
      <c r="S151" s="4">
        <f t="shared" si="41"/>
        <v>3</v>
      </c>
      <c r="T151" s="4">
        <f t="shared" si="42"/>
        <v>0</v>
      </c>
      <c r="U151" t="str">
        <f t="shared" si="43"/>
        <v>T</v>
      </c>
      <c r="V151">
        <f t="shared" si="44"/>
        <v>25</v>
      </c>
      <c r="W151" t="str">
        <f t="shared" si="45"/>
        <v>N</v>
      </c>
      <c r="X151">
        <f t="shared" si="46"/>
        <v>17</v>
      </c>
      <c r="Y151" s="4">
        <f t="shared" si="47"/>
        <v>2</v>
      </c>
      <c r="Z151" t="str">
        <f t="shared" si="48"/>
        <v>2450302</v>
      </c>
      <c r="AA151" t="str">
        <f t="shared" si="49"/>
        <v xml:space="preserve">Doç.Dr. CENK TUFAN  </v>
      </c>
      <c r="AB151" t="str">
        <f t="shared" si="50"/>
        <v>2450302</v>
      </c>
    </row>
    <row r="152" spans="6:28" x14ac:dyDescent="0.45">
      <c r="F152" t="s">
        <v>246</v>
      </c>
      <c r="G152" t="s">
        <v>261</v>
      </c>
      <c r="H152" t="s">
        <v>262</v>
      </c>
      <c r="K152" s="4">
        <f t="shared" si="35"/>
        <v>2</v>
      </c>
      <c r="L152" s="4">
        <f t="shared" si="36"/>
        <v>5</v>
      </c>
      <c r="M152" s="4">
        <f t="shared" si="51"/>
        <v>4</v>
      </c>
      <c r="N152" s="4">
        <f t="shared" si="51"/>
        <v>0</v>
      </c>
      <c r="O152" t="str">
        <f t="shared" si="37"/>
        <v>A</v>
      </c>
      <c r="P152">
        <f t="shared" si="38"/>
        <v>1</v>
      </c>
      <c r="Q152" t="str">
        <f t="shared" si="39"/>
        <v>T</v>
      </c>
      <c r="R152">
        <f t="shared" si="40"/>
        <v>25</v>
      </c>
      <c r="S152" s="4">
        <f t="shared" si="41"/>
        <v>1</v>
      </c>
      <c r="T152" s="4">
        <f t="shared" si="42"/>
        <v>4</v>
      </c>
      <c r="U152" t="str">
        <f t="shared" si="43"/>
        <v>K</v>
      </c>
      <c r="V152">
        <f t="shared" si="44"/>
        <v>14</v>
      </c>
      <c r="W152" t="str">
        <f t="shared" si="45"/>
        <v>A</v>
      </c>
      <c r="X152">
        <f t="shared" si="46"/>
        <v>1</v>
      </c>
      <c r="Y152" s="4">
        <f t="shared" si="47"/>
        <v>5</v>
      </c>
      <c r="Z152" t="str">
        <f t="shared" si="48"/>
        <v>2540145</v>
      </c>
      <c r="AA152" t="str">
        <f t="shared" si="49"/>
        <v xml:space="preserve">Doç.Dr. AHMET KAYA  </v>
      </c>
      <c r="AB152" t="str">
        <f t="shared" si="50"/>
        <v>2540145</v>
      </c>
    </row>
    <row r="153" spans="6:28" x14ac:dyDescent="0.45">
      <c r="F153" t="s">
        <v>245</v>
      </c>
      <c r="G153" t="s">
        <v>350</v>
      </c>
      <c r="H153" t="s">
        <v>332</v>
      </c>
      <c r="K153" s="4">
        <f t="shared" si="35"/>
        <v>1</v>
      </c>
      <c r="L153" s="4">
        <f t="shared" si="36"/>
        <v>6</v>
      </c>
      <c r="M153" s="4">
        <f t="shared" si="51"/>
        <v>5</v>
      </c>
      <c r="N153" s="4">
        <f t="shared" si="51"/>
        <v>0</v>
      </c>
      <c r="O153" t="str">
        <f t="shared" si="37"/>
        <v>S</v>
      </c>
      <c r="P153">
        <f t="shared" si="38"/>
        <v>23</v>
      </c>
      <c r="Q153" t="str">
        <f t="shared" si="39"/>
        <v>N</v>
      </c>
      <c r="R153">
        <f t="shared" si="40"/>
        <v>17</v>
      </c>
      <c r="S153" s="4">
        <f t="shared" si="41"/>
        <v>2</v>
      </c>
      <c r="T153" s="4">
        <f t="shared" si="42"/>
        <v>3</v>
      </c>
      <c r="U153" t="str">
        <f t="shared" si="43"/>
        <v>I</v>
      </c>
      <c r="V153">
        <f t="shared" si="44"/>
        <v>11</v>
      </c>
      <c r="W153" t="str">
        <f t="shared" si="45"/>
        <v>K</v>
      </c>
      <c r="X153">
        <f t="shared" si="46"/>
        <v>14</v>
      </c>
      <c r="Y153" s="4">
        <f t="shared" si="47"/>
        <v>1</v>
      </c>
      <c r="Z153" t="str">
        <f t="shared" si="48"/>
        <v>1650231</v>
      </c>
      <c r="AA153" t="str">
        <f t="shared" si="49"/>
        <v xml:space="preserve">Prof.Dr. Sezgin IRMAK  </v>
      </c>
      <c r="AB153" t="str">
        <f t="shared" si="50"/>
        <v>1650231</v>
      </c>
    </row>
    <row r="154" spans="6:28" x14ac:dyDescent="0.45">
      <c r="F154" t="s">
        <v>245</v>
      </c>
      <c r="G154" t="s">
        <v>350</v>
      </c>
      <c r="H154" t="s">
        <v>332</v>
      </c>
      <c r="K154" s="4">
        <f t="shared" si="35"/>
        <v>1</v>
      </c>
      <c r="L154" s="4">
        <f t="shared" si="36"/>
        <v>6</v>
      </c>
      <c r="M154" s="4">
        <f t="shared" si="51"/>
        <v>5</v>
      </c>
      <c r="N154" s="4">
        <f t="shared" si="51"/>
        <v>0</v>
      </c>
      <c r="O154" t="str">
        <f t="shared" si="37"/>
        <v>S</v>
      </c>
      <c r="P154">
        <f t="shared" si="38"/>
        <v>23</v>
      </c>
      <c r="Q154" t="str">
        <f t="shared" si="39"/>
        <v>N</v>
      </c>
      <c r="R154">
        <f t="shared" si="40"/>
        <v>17</v>
      </c>
      <c r="S154" s="4">
        <f t="shared" si="41"/>
        <v>2</v>
      </c>
      <c r="T154" s="4">
        <f t="shared" si="42"/>
        <v>3</v>
      </c>
      <c r="U154" t="str">
        <f t="shared" si="43"/>
        <v>I</v>
      </c>
      <c r="V154">
        <f t="shared" si="44"/>
        <v>11</v>
      </c>
      <c r="W154" t="str">
        <f t="shared" si="45"/>
        <v>K</v>
      </c>
      <c r="X154">
        <f t="shared" si="46"/>
        <v>14</v>
      </c>
      <c r="Y154" s="4">
        <f t="shared" si="47"/>
        <v>1</v>
      </c>
      <c r="Z154" t="str">
        <f t="shared" si="48"/>
        <v>1650231</v>
      </c>
      <c r="AA154" t="str">
        <f t="shared" si="49"/>
        <v xml:space="preserve">Prof.Dr. Sezgin IRMAK  </v>
      </c>
      <c r="AB154" t="str">
        <f t="shared" si="50"/>
        <v>1650231</v>
      </c>
    </row>
    <row r="155" spans="6:28" x14ac:dyDescent="0.45">
      <c r="F155" t="s">
        <v>245</v>
      </c>
      <c r="G155" t="s">
        <v>350</v>
      </c>
      <c r="H155" t="s">
        <v>332</v>
      </c>
      <c r="K155" s="4">
        <f t="shared" si="35"/>
        <v>1</v>
      </c>
      <c r="L155" s="4">
        <f t="shared" si="36"/>
        <v>6</v>
      </c>
      <c r="M155" s="4">
        <f t="shared" si="51"/>
        <v>5</v>
      </c>
      <c r="N155" s="4">
        <f t="shared" si="51"/>
        <v>0</v>
      </c>
      <c r="O155" t="str">
        <f t="shared" si="37"/>
        <v>S</v>
      </c>
      <c r="P155">
        <f t="shared" si="38"/>
        <v>23</v>
      </c>
      <c r="Q155" t="str">
        <f t="shared" si="39"/>
        <v>N</v>
      </c>
      <c r="R155">
        <f t="shared" si="40"/>
        <v>17</v>
      </c>
      <c r="S155" s="4">
        <f t="shared" si="41"/>
        <v>2</v>
      </c>
      <c r="T155" s="4">
        <f t="shared" si="42"/>
        <v>3</v>
      </c>
      <c r="U155" t="str">
        <f t="shared" si="43"/>
        <v>I</v>
      </c>
      <c r="V155">
        <f t="shared" si="44"/>
        <v>11</v>
      </c>
      <c r="W155" t="str">
        <f t="shared" si="45"/>
        <v>K</v>
      </c>
      <c r="X155">
        <f t="shared" si="46"/>
        <v>14</v>
      </c>
      <c r="Y155" s="4">
        <f t="shared" si="47"/>
        <v>1</v>
      </c>
      <c r="Z155" t="str">
        <f t="shared" si="48"/>
        <v>1650231</v>
      </c>
      <c r="AA155" t="str">
        <f t="shared" si="49"/>
        <v xml:space="preserve">Prof.Dr. Sezgin IRMAK  </v>
      </c>
      <c r="AB155" t="str">
        <f t="shared" si="50"/>
        <v>1650231</v>
      </c>
    </row>
    <row r="156" spans="6:28" x14ac:dyDescent="0.45">
      <c r="F156" t="s">
        <v>246</v>
      </c>
      <c r="G156" t="s">
        <v>343</v>
      </c>
      <c r="H156" t="s">
        <v>344</v>
      </c>
      <c r="K156" s="4">
        <f t="shared" si="35"/>
        <v>2</v>
      </c>
      <c r="L156" s="4">
        <f t="shared" si="36"/>
        <v>4</v>
      </c>
      <c r="M156" s="4">
        <f t="shared" si="51"/>
        <v>5</v>
      </c>
      <c r="N156" s="4">
        <f t="shared" si="51"/>
        <v>0</v>
      </c>
      <c r="O156" t="str">
        <f t="shared" si="37"/>
        <v>C</v>
      </c>
      <c r="P156">
        <f t="shared" si="38"/>
        <v>3</v>
      </c>
      <c r="Q156" t="str">
        <f t="shared" si="39"/>
        <v>K</v>
      </c>
      <c r="R156">
        <f t="shared" si="40"/>
        <v>14</v>
      </c>
      <c r="S156" s="4">
        <f t="shared" si="41"/>
        <v>3</v>
      </c>
      <c r="T156" s="4">
        <f t="shared" si="42"/>
        <v>0</v>
      </c>
      <c r="U156" t="str">
        <f t="shared" si="43"/>
        <v>T</v>
      </c>
      <c r="V156">
        <f t="shared" si="44"/>
        <v>25</v>
      </c>
      <c r="W156" t="str">
        <f t="shared" si="45"/>
        <v>N</v>
      </c>
      <c r="X156">
        <f t="shared" si="46"/>
        <v>17</v>
      </c>
      <c r="Y156" s="4">
        <f t="shared" si="47"/>
        <v>2</v>
      </c>
      <c r="Z156" t="str">
        <f t="shared" si="48"/>
        <v>2450302</v>
      </c>
      <c r="AA156" t="str">
        <f t="shared" si="49"/>
        <v xml:space="preserve">Doç.Dr. CENK TUFAN  </v>
      </c>
      <c r="AB156" t="str">
        <f t="shared" si="50"/>
        <v>2450302</v>
      </c>
    </row>
    <row r="157" spans="6:28" x14ac:dyDescent="0.45">
      <c r="F157" t="s">
        <v>246</v>
      </c>
      <c r="G157" t="s">
        <v>343</v>
      </c>
      <c r="H157" t="s">
        <v>344</v>
      </c>
      <c r="K157" s="4">
        <f t="shared" si="35"/>
        <v>2</v>
      </c>
      <c r="L157" s="4">
        <f t="shared" si="36"/>
        <v>4</v>
      </c>
      <c r="M157" s="4">
        <f t="shared" si="51"/>
        <v>5</v>
      </c>
      <c r="N157" s="4">
        <f t="shared" si="51"/>
        <v>0</v>
      </c>
      <c r="O157" t="str">
        <f t="shared" si="37"/>
        <v>C</v>
      </c>
      <c r="P157">
        <f t="shared" si="38"/>
        <v>3</v>
      </c>
      <c r="Q157" t="str">
        <f t="shared" si="39"/>
        <v>K</v>
      </c>
      <c r="R157">
        <f t="shared" si="40"/>
        <v>14</v>
      </c>
      <c r="S157" s="4">
        <f t="shared" si="41"/>
        <v>3</v>
      </c>
      <c r="T157" s="4">
        <f t="shared" si="42"/>
        <v>0</v>
      </c>
      <c r="U157" t="str">
        <f t="shared" si="43"/>
        <v>T</v>
      </c>
      <c r="V157">
        <f t="shared" si="44"/>
        <v>25</v>
      </c>
      <c r="W157" t="str">
        <f t="shared" si="45"/>
        <v>N</v>
      </c>
      <c r="X157">
        <f t="shared" si="46"/>
        <v>17</v>
      </c>
      <c r="Y157" s="4">
        <f t="shared" si="47"/>
        <v>2</v>
      </c>
      <c r="Z157" t="str">
        <f t="shared" si="48"/>
        <v>2450302</v>
      </c>
      <c r="AA157" t="str">
        <f t="shared" si="49"/>
        <v xml:space="preserve">Doç.Dr. CENK TUFAN  </v>
      </c>
      <c r="AB157" t="str">
        <f t="shared" si="50"/>
        <v>2450302</v>
      </c>
    </row>
    <row r="158" spans="6:28" x14ac:dyDescent="0.45">
      <c r="F158" t="s">
        <v>245</v>
      </c>
      <c r="G158" t="s">
        <v>351</v>
      </c>
      <c r="H158" t="s">
        <v>352</v>
      </c>
      <c r="K158" s="4">
        <f t="shared" si="35"/>
        <v>1</v>
      </c>
      <c r="L158" s="4">
        <f t="shared" si="36"/>
        <v>4</v>
      </c>
      <c r="M158" s="4">
        <f t="shared" si="51"/>
        <v>5</v>
      </c>
      <c r="N158" s="4">
        <f t="shared" si="51"/>
        <v>0</v>
      </c>
      <c r="O158" t="str">
        <f t="shared" si="37"/>
        <v>Ö</v>
      </c>
      <c r="P158">
        <f t="shared" si="38"/>
        <v>19</v>
      </c>
      <c r="Q158" t="str">
        <f t="shared" si="39"/>
        <v>R</v>
      </c>
      <c r="R158">
        <f t="shared" si="40"/>
        <v>22</v>
      </c>
      <c r="S158" s="4">
        <f t="shared" si="41"/>
        <v>5</v>
      </c>
      <c r="T158" s="4">
        <f t="shared" si="42"/>
        <v>1</v>
      </c>
      <c r="U158" t="str">
        <f t="shared" si="43"/>
        <v>T</v>
      </c>
      <c r="V158">
        <f t="shared" si="44"/>
        <v>25</v>
      </c>
      <c r="W158" t="str">
        <f t="shared" si="45"/>
        <v>N</v>
      </c>
      <c r="X158">
        <f t="shared" si="46"/>
        <v>17</v>
      </c>
      <c r="Y158" s="4">
        <f t="shared" si="47"/>
        <v>2</v>
      </c>
      <c r="Z158" t="str">
        <f t="shared" si="48"/>
        <v>1450512</v>
      </c>
      <c r="AA158" t="str">
        <f t="shared" si="49"/>
        <v xml:space="preserve">Prof.Dr. ÖMÜR TOSUN  </v>
      </c>
      <c r="AB158" t="str">
        <f t="shared" si="50"/>
        <v>1450512</v>
      </c>
    </row>
    <row r="159" spans="6:28" x14ac:dyDescent="0.45">
      <c r="F159" t="s">
        <v>245</v>
      </c>
      <c r="G159" t="s">
        <v>351</v>
      </c>
      <c r="H159" t="s">
        <v>352</v>
      </c>
      <c r="K159" s="4">
        <f t="shared" si="35"/>
        <v>1</v>
      </c>
      <c r="L159" s="4">
        <f t="shared" si="36"/>
        <v>4</v>
      </c>
      <c r="M159" s="4">
        <f t="shared" si="51"/>
        <v>5</v>
      </c>
      <c r="N159" s="4">
        <f t="shared" si="51"/>
        <v>0</v>
      </c>
      <c r="O159" t="str">
        <f t="shared" si="37"/>
        <v>Ö</v>
      </c>
      <c r="P159">
        <f t="shared" si="38"/>
        <v>19</v>
      </c>
      <c r="Q159" t="str">
        <f t="shared" si="39"/>
        <v>R</v>
      </c>
      <c r="R159">
        <f t="shared" si="40"/>
        <v>22</v>
      </c>
      <c r="S159" s="4">
        <f t="shared" si="41"/>
        <v>5</v>
      </c>
      <c r="T159" s="4">
        <f t="shared" si="42"/>
        <v>1</v>
      </c>
      <c r="U159" t="str">
        <f t="shared" si="43"/>
        <v>T</v>
      </c>
      <c r="V159">
        <f t="shared" si="44"/>
        <v>25</v>
      </c>
      <c r="W159" t="str">
        <f t="shared" si="45"/>
        <v>N</v>
      </c>
      <c r="X159">
        <f t="shared" si="46"/>
        <v>17</v>
      </c>
      <c r="Y159" s="4">
        <f t="shared" si="47"/>
        <v>2</v>
      </c>
      <c r="Z159" t="str">
        <f t="shared" si="48"/>
        <v>1450512</v>
      </c>
      <c r="AA159" t="str">
        <f t="shared" si="49"/>
        <v xml:space="preserve">Prof.Dr. ÖMÜR TOSUN  </v>
      </c>
      <c r="AB159" t="str">
        <f t="shared" si="50"/>
        <v>1450512</v>
      </c>
    </row>
    <row r="160" spans="6:28" x14ac:dyDescent="0.45">
      <c r="F160" t="s">
        <v>246</v>
      </c>
      <c r="G160" t="s">
        <v>299</v>
      </c>
      <c r="H160" t="s">
        <v>300</v>
      </c>
      <c r="K160" s="4">
        <f t="shared" si="35"/>
        <v>2</v>
      </c>
      <c r="L160" s="4">
        <f t="shared" si="36"/>
        <v>5</v>
      </c>
      <c r="M160" s="4">
        <f t="shared" si="51"/>
        <v>5</v>
      </c>
      <c r="N160" s="4">
        <f t="shared" si="51"/>
        <v>0</v>
      </c>
      <c r="O160" t="str">
        <f t="shared" si="37"/>
        <v>Y</v>
      </c>
      <c r="P160">
        <f t="shared" si="38"/>
        <v>31</v>
      </c>
      <c r="Q160" t="str">
        <f t="shared" si="39"/>
        <v>S</v>
      </c>
      <c r="R160">
        <f t="shared" si="40"/>
        <v>23</v>
      </c>
      <c r="S160" s="4">
        <f t="shared" si="41"/>
        <v>3</v>
      </c>
      <c r="T160" s="4">
        <f t="shared" si="42"/>
        <v>2</v>
      </c>
      <c r="U160" t="str">
        <f t="shared" si="43"/>
        <v>K</v>
      </c>
      <c r="V160">
        <f t="shared" si="44"/>
        <v>14</v>
      </c>
      <c r="W160" t="str">
        <f t="shared" si="45"/>
        <v>Ç</v>
      </c>
      <c r="X160">
        <f t="shared" si="46"/>
        <v>4</v>
      </c>
      <c r="Y160" s="4">
        <f t="shared" si="47"/>
        <v>2</v>
      </c>
      <c r="Z160" t="str">
        <f t="shared" si="48"/>
        <v>2550322</v>
      </c>
      <c r="AA160" t="str">
        <f t="shared" si="49"/>
        <v xml:space="preserve">Doç.Dr. YUNUS KILIÇ  </v>
      </c>
      <c r="AB160" t="str">
        <f t="shared" si="50"/>
        <v>2550322</v>
      </c>
    </row>
    <row r="161" spans="6:28" x14ac:dyDescent="0.45">
      <c r="F161" t="s">
        <v>246</v>
      </c>
      <c r="G161" t="s">
        <v>299</v>
      </c>
      <c r="H161" t="s">
        <v>300</v>
      </c>
      <c r="K161" s="4">
        <f t="shared" si="35"/>
        <v>2</v>
      </c>
      <c r="L161" s="4">
        <f t="shared" si="36"/>
        <v>5</v>
      </c>
      <c r="M161" s="4">
        <f t="shared" si="51"/>
        <v>5</v>
      </c>
      <c r="N161" s="4">
        <f t="shared" si="51"/>
        <v>0</v>
      </c>
      <c r="O161" t="str">
        <f t="shared" si="37"/>
        <v>Y</v>
      </c>
      <c r="P161">
        <f t="shared" si="38"/>
        <v>31</v>
      </c>
      <c r="Q161" t="str">
        <f t="shared" si="39"/>
        <v>S</v>
      </c>
      <c r="R161">
        <f t="shared" si="40"/>
        <v>23</v>
      </c>
      <c r="S161" s="4">
        <f t="shared" si="41"/>
        <v>3</v>
      </c>
      <c r="T161" s="4">
        <f t="shared" si="42"/>
        <v>2</v>
      </c>
      <c r="U161" t="str">
        <f t="shared" si="43"/>
        <v>K</v>
      </c>
      <c r="V161">
        <f t="shared" si="44"/>
        <v>14</v>
      </c>
      <c r="W161" t="str">
        <f t="shared" si="45"/>
        <v>Ç</v>
      </c>
      <c r="X161">
        <f t="shared" si="46"/>
        <v>4</v>
      </c>
      <c r="Y161" s="4">
        <f t="shared" si="47"/>
        <v>2</v>
      </c>
      <c r="Z161" t="str">
        <f t="shared" si="48"/>
        <v>2550322</v>
      </c>
      <c r="AA161" t="str">
        <f t="shared" si="49"/>
        <v xml:space="preserve">Doç.Dr. YUNUS KILIÇ  </v>
      </c>
      <c r="AB161" t="str">
        <f t="shared" si="50"/>
        <v>2550322</v>
      </c>
    </row>
    <row r="162" spans="6:28" x14ac:dyDescent="0.45">
      <c r="F162" t="s">
        <v>249</v>
      </c>
      <c r="G162" t="s">
        <v>353</v>
      </c>
      <c r="H162" t="s">
        <v>354</v>
      </c>
      <c r="I162" t="s">
        <v>355</v>
      </c>
      <c r="K162" s="4">
        <f t="shared" si="35"/>
        <v>5</v>
      </c>
      <c r="L162" s="4">
        <f t="shared" si="36"/>
        <v>5</v>
      </c>
      <c r="M162" s="4">
        <f t="shared" si="51"/>
        <v>6</v>
      </c>
      <c r="N162" s="4">
        <f t="shared" si="51"/>
        <v>4</v>
      </c>
      <c r="O162" t="str">
        <f t="shared" si="37"/>
        <v>M</v>
      </c>
      <c r="P162">
        <f t="shared" si="38"/>
        <v>16</v>
      </c>
      <c r="Q162" t="str">
        <f t="shared" si="39"/>
        <v>T</v>
      </c>
      <c r="R162">
        <f t="shared" si="40"/>
        <v>25</v>
      </c>
      <c r="S162" s="4">
        <f t="shared" si="41"/>
        <v>2</v>
      </c>
      <c r="T162" s="4">
        <f t="shared" si="42"/>
        <v>4</v>
      </c>
      <c r="U162" t="str">
        <f t="shared" si="43"/>
        <v>S</v>
      </c>
      <c r="V162">
        <f t="shared" si="44"/>
        <v>23</v>
      </c>
      <c r="W162" t="str">
        <f t="shared" si="45"/>
        <v>R</v>
      </c>
      <c r="X162">
        <f t="shared" si="46"/>
        <v>22</v>
      </c>
      <c r="Y162" s="4">
        <f t="shared" si="47"/>
        <v>2</v>
      </c>
      <c r="Z162" t="str">
        <f t="shared" si="48"/>
        <v>5564242</v>
      </c>
      <c r="AA162" t="str">
        <f t="shared" si="49"/>
        <v xml:space="preserve">Öğr.Gör. MURAT SERDAR EMEK </v>
      </c>
      <c r="AB162" t="str">
        <f t="shared" si="50"/>
        <v>5564242</v>
      </c>
    </row>
    <row r="163" spans="6:28" x14ac:dyDescent="0.45">
      <c r="F163" t="s">
        <v>249</v>
      </c>
      <c r="G163" t="s">
        <v>353</v>
      </c>
      <c r="H163" t="s">
        <v>354</v>
      </c>
      <c r="I163" t="s">
        <v>355</v>
      </c>
      <c r="K163" s="4">
        <f t="shared" si="35"/>
        <v>5</v>
      </c>
      <c r="L163" s="4">
        <f t="shared" si="36"/>
        <v>5</v>
      </c>
      <c r="M163" s="4">
        <f t="shared" si="51"/>
        <v>6</v>
      </c>
      <c r="N163" s="4">
        <f t="shared" si="51"/>
        <v>4</v>
      </c>
      <c r="O163" t="str">
        <f t="shared" si="37"/>
        <v>M</v>
      </c>
      <c r="P163">
        <f t="shared" si="38"/>
        <v>16</v>
      </c>
      <c r="Q163" t="str">
        <f t="shared" si="39"/>
        <v>T</v>
      </c>
      <c r="R163">
        <f t="shared" si="40"/>
        <v>25</v>
      </c>
      <c r="S163" s="4">
        <f t="shared" si="41"/>
        <v>2</v>
      </c>
      <c r="T163" s="4">
        <f t="shared" si="42"/>
        <v>4</v>
      </c>
      <c r="U163" t="str">
        <f t="shared" si="43"/>
        <v>S</v>
      </c>
      <c r="V163">
        <f t="shared" si="44"/>
        <v>23</v>
      </c>
      <c r="W163" t="str">
        <f t="shared" si="45"/>
        <v>R</v>
      </c>
      <c r="X163">
        <f t="shared" si="46"/>
        <v>22</v>
      </c>
      <c r="Y163" s="4">
        <f t="shared" si="47"/>
        <v>2</v>
      </c>
      <c r="Z163" t="str">
        <f t="shared" si="48"/>
        <v>5564242</v>
      </c>
      <c r="AA163" t="str">
        <f t="shared" si="49"/>
        <v xml:space="preserve">Öğr.Gör. MURAT SERDAR EMEK </v>
      </c>
      <c r="AB163" t="str">
        <f t="shared" si="50"/>
        <v>5564242</v>
      </c>
    </row>
    <row r="164" spans="6:28" x14ac:dyDescent="0.45">
      <c r="F164" t="s">
        <v>246</v>
      </c>
      <c r="G164" t="s">
        <v>345</v>
      </c>
      <c r="H164" t="s">
        <v>346</v>
      </c>
      <c r="I164" t="s">
        <v>347</v>
      </c>
      <c r="K164" s="4">
        <f t="shared" si="35"/>
        <v>2</v>
      </c>
      <c r="L164" s="4">
        <f t="shared" si="36"/>
        <v>5</v>
      </c>
      <c r="M164" s="4">
        <f t="shared" si="51"/>
        <v>6</v>
      </c>
      <c r="N164" s="4">
        <f t="shared" si="51"/>
        <v>5</v>
      </c>
      <c r="O164" t="str">
        <f t="shared" si="37"/>
        <v>K</v>
      </c>
      <c r="P164">
        <f t="shared" si="38"/>
        <v>14</v>
      </c>
      <c r="Q164" t="str">
        <f t="shared" si="39"/>
        <v>M</v>
      </c>
      <c r="R164">
        <f t="shared" si="40"/>
        <v>16</v>
      </c>
      <c r="S164" s="4">
        <f t="shared" si="41"/>
        <v>0</v>
      </c>
      <c r="T164" s="4">
        <f t="shared" si="42"/>
        <v>2</v>
      </c>
      <c r="U164" t="str">
        <f t="shared" si="43"/>
        <v>K</v>
      </c>
      <c r="V164">
        <f t="shared" si="44"/>
        <v>14</v>
      </c>
      <c r="W164" t="str">
        <f t="shared" si="45"/>
        <v>T</v>
      </c>
      <c r="X164">
        <f t="shared" si="46"/>
        <v>25</v>
      </c>
      <c r="Y164" s="4">
        <f t="shared" si="47"/>
        <v>8</v>
      </c>
      <c r="Z164" t="str">
        <f t="shared" si="48"/>
        <v>2565028</v>
      </c>
      <c r="AA164" t="str">
        <f t="shared" si="49"/>
        <v xml:space="preserve">Doç.Dr. KERİM KÜRŞAT ÇEVİK </v>
      </c>
      <c r="AB164" t="str">
        <f t="shared" si="50"/>
        <v>2565028</v>
      </c>
    </row>
    <row r="165" spans="6:28" x14ac:dyDescent="0.45">
      <c r="F165" t="s">
        <v>246</v>
      </c>
      <c r="G165" t="s">
        <v>345</v>
      </c>
      <c r="H165" t="s">
        <v>346</v>
      </c>
      <c r="I165" t="s">
        <v>347</v>
      </c>
      <c r="K165" s="4">
        <f t="shared" si="35"/>
        <v>2</v>
      </c>
      <c r="L165" s="4">
        <f t="shared" si="36"/>
        <v>5</v>
      </c>
      <c r="M165" s="4">
        <f t="shared" si="51"/>
        <v>6</v>
      </c>
      <c r="N165" s="4">
        <f t="shared" si="51"/>
        <v>5</v>
      </c>
      <c r="O165" t="str">
        <f t="shared" si="37"/>
        <v>K</v>
      </c>
      <c r="P165">
        <f t="shared" si="38"/>
        <v>14</v>
      </c>
      <c r="Q165" t="str">
        <f t="shared" si="39"/>
        <v>M</v>
      </c>
      <c r="R165">
        <f t="shared" si="40"/>
        <v>16</v>
      </c>
      <c r="S165" s="4">
        <f t="shared" si="41"/>
        <v>0</v>
      </c>
      <c r="T165" s="4">
        <f t="shared" si="42"/>
        <v>2</v>
      </c>
      <c r="U165" t="str">
        <f t="shared" si="43"/>
        <v>K</v>
      </c>
      <c r="V165">
        <f t="shared" si="44"/>
        <v>14</v>
      </c>
      <c r="W165" t="str">
        <f t="shared" si="45"/>
        <v>T</v>
      </c>
      <c r="X165">
        <f t="shared" si="46"/>
        <v>25</v>
      </c>
      <c r="Y165" s="4">
        <f t="shared" si="47"/>
        <v>8</v>
      </c>
      <c r="Z165" t="str">
        <f t="shared" si="48"/>
        <v>2565028</v>
      </c>
      <c r="AA165" t="str">
        <f t="shared" si="49"/>
        <v xml:space="preserve">Doç.Dr. KERİM KÜRŞAT ÇEVİK </v>
      </c>
      <c r="AB165" t="str">
        <f t="shared" si="50"/>
        <v>2565028</v>
      </c>
    </row>
    <row r="166" spans="6:28" x14ac:dyDescent="0.45">
      <c r="F166" t="s">
        <v>247</v>
      </c>
      <c r="G166" t="s">
        <v>276</v>
      </c>
      <c r="H166" t="s">
        <v>356</v>
      </c>
      <c r="I166" t="s">
        <v>357</v>
      </c>
      <c r="K166" s="4">
        <f t="shared" si="35"/>
        <v>3</v>
      </c>
      <c r="L166" s="4">
        <f t="shared" si="36"/>
        <v>6</v>
      </c>
      <c r="M166" s="4">
        <f t="shared" si="51"/>
        <v>6</v>
      </c>
      <c r="N166" s="4">
        <f t="shared" si="51"/>
        <v>8</v>
      </c>
      <c r="O166" t="str">
        <f t="shared" si="37"/>
        <v>M</v>
      </c>
      <c r="P166">
        <f t="shared" si="38"/>
        <v>16</v>
      </c>
      <c r="Q166" t="str">
        <f t="shared" si="39"/>
        <v>T</v>
      </c>
      <c r="R166">
        <f t="shared" si="40"/>
        <v>25</v>
      </c>
      <c r="S166" s="4">
        <f t="shared" si="41"/>
        <v>2</v>
      </c>
      <c r="T166" s="4">
        <f t="shared" si="42"/>
        <v>4</v>
      </c>
      <c r="U166" t="str">
        <f t="shared" si="43"/>
        <v>S</v>
      </c>
      <c r="V166">
        <f t="shared" si="44"/>
        <v>23</v>
      </c>
      <c r="W166" t="str">
        <f t="shared" si="45"/>
        <v>N</v>
      </c>
      <c r="X166">
        <f t="shared" si="46"/>
        <v>17</v>
      </c>
      <c r="Y166" s="4">
        <f t="shared" si="47"/>
        <v>4</v>
      </c>
      <c r="Z166" t="str">
        <f t="shared" si="48"/>
        <v>3668244</v>
      </c>
      <c r="AA166" t="str">
        <f t="shared" si="49"/>
        <v xml:space="preserve">Dr.Öğr.Üyesi MEHMET SERHAN SEKRETER </v>
      </c>
      <c r="AB166" t="str">
        <f t="shared" si="50"/>
        <v>3668244</v>
      </c>
    </row>
    <row r="167" spans="6:28" x14ac:dyDescent="0.45">
      <c r="F167" t="s">
        <v>247</v>
      </c>
      <c r="G167" t="s">
        <v>276</v>
      </c>
      <c r="H167" t="s">
        <v>356</v>
      </c>
      <c r="I167" t="s">
        <v>357</v>
      </c>
      <c r="K167" s="4">
        <f t="shared" si="35"/>
        <v>3</v>
      </c>
      <c r="L167" s="4">
        <f t="shared" si="36"/>
        <v>6</v>
      </c>
      <c r="M167" s="4">
        <f t="shared" si="51"/>
        <v>6</v>
      </c>
      <c r="N167" s="4">
        <f t="shared" si="51"/>
        <v>8</v>
      </c>
      <c r="O167" t="str">
        <f t="shared" si="37"/>
        <v>M</v>
      </c>
      <c r="P167">
        <f t="shared" si="38"/>
        <v>16</v>
      </c>
      <c r="Q167" t="str">
        <f t="shared" si="39"/>
        <v>T</v>
      </c>
      <c r="R167">
        <f t="shared" si="40"/>
        <v>25</v>
      </c>
      <c r="S167" s="4">
        <f t="shared" si="41"/>
        <v>2</v>
      </c>
      <c r="T167" s="4">
        <f t="shared" si="42"/>
        <v>4</v>
      </c>
      <c r="U167" t="str">
        <f t="shared" si="43"/>
        <v>S</v>
      </c>
      <c r="V167">
        <f t="shared" si="44"/>
        <v>23</v>
      </c>
      <c r="W167" t="str">
        <f t="shared" si="45"/>
        <v>N</v>
      </c>
      <c r="X167">
        <f t="shared" si="46"/>
        <v>17</v>
      </c>
      <c r="Y167" s="4">
        <f t="shared" si="47"/>
        <v>4</v>
      </c>
      <c r="Z167" t="str">
        <f t="shared" si="48"/>
        <v>3668244</v>
      </c>
      <c r="AA167" t="str">
        <f t="shared" si="49"/>
        <v xml:space="preserve">Dr.Öğr.Üyesi MEHMET SERHAN SEKRETER </v>
      </c>
      <c r="AB167" t="str">
        <f t="shared" si="50"/>
        <v>3668244</v>
      </c>
    </row>
    <row r="168" spans="6:28" x14ac:dyDescent="0.45">
      <c r="F168" t="s">
        <v>245</v>
      </c>
      <c r="G168" t="s">
        <v>350</v>
      </c>
      <c r="H168" t="s">
        <v>332</v>
      </c>
      <c r="K168" s="4">
        <f t="shared" si="35"/>
        <v>1</v>
      </c>
      <c r="L168" s="4">
        <f t="shared" si="36"/>
        <v>6</v>
      </c>
      <c r="M168" s="4">
        <f t="shared" si="51"/>
        <v>5</v>
      </c>
      <c r="N168" s="4">
        <f t="shared" si="51"/>
        <v>0</v>
      </c>
      <c r="O168" t="str">
        <f t="shared" si="37"/>
        <v>S</v>
      </c>
      <c r="P168">
        <f t="shared" si="38"/>
        <v>23</v>
      </c>
      <c r="Q168" t="str">
        <f t="shared" si="39"/>
        <v>N</v>
      </c>
      <c r="R168">
        <f t="shared" si="40"/>
        <v>17</v>
      </c>
      <c r="S168" s="4">
        <f t="shared" si="41"/>
        <v>2</v>
      </c>
      <c r="T168" s="4">
        <f t="shared" si="42"/>
        <v>3</v>
      </c>
      <c r="U168" t="str">
        <f t="shared" si="43"/>
        <v>I</v>
      </c>
      <c r="V168">
        <f t="shared" si="44"/>
        <v>11</v>
      </c>
      <c r="W168" t="str">
        <f t="shared" si="45"/>
        <v>K</v>
      </c>
      <c r="X168">
        <f t="shared" si="46"/>
        <v>14</v>
      </c>
      <c r="Y168" s="4">
        <f t="shared" si="47"/>
        <v>1</v>
      </c>
      <c r="Z168" t="str">
        <f t="shared" si="48"/>
        <v>1650231</v>
      </c>
      <c r="AA168" t="str">
        <f t="shared" si="49"/>
        <v xml:space="preserve">Prof.Dr. Sezgin IRMAK  </v>
      </c>
      <c r="AB168" t="str">
        <f t="shared" si="50"/>
        <v>1650231</v>
      </c>
    </row>
    <row r="169" spans="6:28" x14ac:dyDescent="0.45">
      <c r="F169" t="s">
        <v>246</v>
      </c>
      <c r="G169" t="s">
        <v>348</v>
      </c>
      <c r="H169" t="s">
        <v>349</v>
      </c>
      <c r="K169" s="4">
        <f t="shared" si="35"/>
        <v>2</v>
      </c>
      <c r="L169" s="4">
        <f t="shared" si="36"/>
        <v>6</v>
      </c>
      <c r="M169" s="4">
        <f t="shared" si="51"/>
        <v>5</v>
      </c>
      <c r="N169" s="4">
        <f t="shared" si="51"/>
        <v>0</v>
      </c>
      <c r="O169" t="str">
        <f t="shared" si="37"/>
        <v>T</v>
      </c>
      <c r="P169">
        <f t="shared" si="38"/>
        <v>25</v>
      </c>
      <c r="Q169" t="str">
        <f t="shared" si="39"/>
        <v>N</v>
      </c>
      <c r="R169">
        <f t="shared" si="40"/>
        <v>17</v>
      </c>
      <c r="S169" s="4">
        <f t="shared" si="41"/>
        <v>4</v>
      </c>
      <c r="T169" s="4">
        <f t="shared" si="42"/>
        <v>3</v>
      </c>
      <c r="U169" t="str">
        <f t="shared" si="43"/>
        <v>Y</v>
      </c>
      <c r="V169">
        <f t="shared" si="44"/>
        <v>31</v>
      </c>
      <c r="W169" t="str">
        <f t="shared" si="45"/>
        <v>K</v>
      </c>
      <c r="X169">
        <f t="shared" si="46"/>
        <v>14</v>
      </c>
      <c r="Y169" s="4">
        <f t="shared" si="47"/>
        <v>2</v>
      </c>
      <c r="Z169" t="str">
        <f t="shared" si="48"/>
        <v>2650432</v>
      </c>
      <c r="AA169" t="str">
        <f t="shared" si="49"/>
        <v xml:space="preserve">Doç.Dr. TAYFUN YÖRÜK  </v>
      </c>
      <c r="AB169" t="str">
        <f t="shared" si="50"/>
        <v>2650432</v>
      </c>
    </row>
    <row r="170" spans="6:28" x14ac:dyDescent="0.45">
      <c r="F170" t="s">
        <v>246</v>
      </c>
      <c r="G170" t="s">
        <v>339</v>
      </c>
      <c r="H170" t="s">
        <v>340</v>
      </c>
      <c r="K170" s="4">
        <f t="shared" si="35"/>
        <v>2</v>
      </c>
      <c r="L170" s="4">
        <f t="shared" si="36"/>
        <v>5</v>
      </c>
      <c r="M170" s="4">
        <f t="shared" si="51"/>
        <v>6</v>
      </c>
      <c r="N170" s="4">
        <f t="shared" si="51"/>
        <v>0</v>
      </c>
      <c r="O170" t="str">
        <f t="shared" si="37"/>
        <v>G</v>
      </c>
      <c r="P170">
        <f t="shared" si="38"/>
        <v>8</v>
      </c>
      <c r="Q170" t="str">
        <f t="shared" si="39"/>
        <v>Y</v>
      </c>
      <c r="R170">
        <f t="shared" si="40"/>
        <v>31</v>
      </c>
      <c r="S170" s="4">
        <f t="shared" si="41"/>
        <v>1</v>
      </c>
      <c r="T170" s="4">
        <f t="shared" si="42"/>
        <v>3</v>
      </c>
      <c r="U170" t="str">
        <f t="shared" si="43"/>
        <v>T</v>
      </c>
      <c r="V170">
        <f t="shared" si="44"/>
        <v>25</v>
      </c>
      <c r="W170" t="str">
        <f t="shared" si="45"/>
        <v>Ç</v>
      </c>
      <c r="X170">
        <f t="shared" si="46"/>
        <v>4</v>
      </c>
      <c r="Y170" s="4">
        <f t="shared" si="47"/>
        <v>1</v>
      </c>
      <c r="Z170" t="str">
        <f t="shared" si="48"/>
        <v>2560131</v>
      </c>
      <c r="AA170" t="str">
        <f t="shared" si="49"/>
        <v xml:space="preserve">Doç.Dr. GÜRAY TONGUÇ  </v>
      </c>
      <c r="AB170" t="str">
        <f t="shared" si="50"/>
        <v>2560131</v>
      </c>
    </row>
    <row r="171" spans="6:28" x14ac:dyDescent="0.45">
      <c r="F171" t="s">
        <v>246</v>
      </c>
      <c r="G171" t="s">
        <v>345</v>
      </c>
      <c r="H171" t="s">
        <v>346</v>
      </c>
      <c r="I171" t="s">
        <v>347</v>
      </c>
      <c r="K171" s="4">
        <f t="shared" si="35"/>
        <v>2</v>
      </c>
      <c r="L171" s="4">
        <f t="shared" si="36"/>
        <v>5</v>
      </c>
      <c r="M171" s="4">
        <f t="shared" si="51"/>
        <v>6</v>
      </c>
      <c r="N171" s="4">
        <f t="shared" si="51"/>
        <v>5</v>
      </c>
      <c r="O171" t="str">
        <f t="shared" si="37"/>
        <v>K</v>
      </c>
      <c r="P171">
        <f t="shared" si="38"/>
        <v>14</v>
      </c>
      <c r="Q171" t="str">
        <f t="shared" si="39"/>
        <v>M</v>
      </c>
      <c r="R171">
        <f t="shared" si="40"/>
        <v>16</v>
      </c>
      <c r="S171" s="4">
        <f t="shared" si="41"/>
        <v>0</v>
      </c>
      <c r="T171" s="4">
        <f t="shared" si="42"/>
        <v>2</v>
      </c>
      <c r="U171" t="str">
        <f t="shared" si="43"/>
        <v>K</v>
      </c>
      <c r="V171">
        <f t="shared" si="44"/>
        <v>14</v>
      </c>
      <c r="W171" t="str">
        <f t="shared" si="45"/>
        <v>T</v>
      </c>
      <c r="X171">
        <f t="shared" si="46"/>
        <v>25</v>
      </c>
      <c r="Y171" s="4">
        <f t="shared" si="47"/>
        <v>8</v>
      </c>
      <c r="Z171" t="str">
        <f t="shared" si="48"/>
        <v>2565028</v>
      </c>
      <c r="AA171" t="str">
        <f t="shared" si="49"/>
        <v xml:space="preserve">Doç.Dr. KERİM KÜRŞAT ÇEVİK </v>
      </c>
      <c r="AB171" t="str">
        <f t="shared" si="50"/>
        <v>2565028</v>
      </c>
    </row>
    <row r="172" spans="6:28" x14ac:dyDescent="0.45">
      <c r="F172" t="s">
        <v>246</v>
      </c>
      <c r="G172" t="s">
        <v>343</v>
      </c>
      <c r="H172" t="s">
        <v>344</v>
      </c>
      <c r="K172" s="4">
        <f t="shared" si="35"/>
        <v>2</v>
      </c>
      <c r="L172" s="4">
        <f t="shared" si="36"/>
        <v>4</v>
      </c>
      <c r="M172" s="4">
        <f t="shared" si="51"/>
        <v>5</v>
      </c>
      <c r="N172" s="4">
        <f t="shared" si="51"/>
        <v>0</v>
      </c>
      <c r="O172" t="str">
        <f t="shared" si="37"/>
        <v>C</v>
      </c>
      <c r="P172">
        <f t="shared" si="38"/>
        <v>3</v>
      </c>
      <c r="Q172" t="str">
        <f t="shared" si="39"/>
        <v>K</v>
      </c>
      <c r="R172">
        <f t="shared" si="40"/>
        <v>14</v>
      </c>
      <c r="S172" s="4">
        <f t="shared" si="41"/>
        <v>3</v>
      </c>
      <c r="T172" s="4">
        <f t="shared" si="42"/>
        <v>0</v>
      </c>
      <c r="U172" t="str">
        <f t="shared" si="43"/>
        <v>T</v>
      </c>
      <c r="V172">
        <f t="shared" si="44"/>
        <v>25</v>
      </c>
      <c r="W172" t="str">
        <f t="shared" si="45"/>
        <v>N</v>
      </c>
      <c r="X172">
        <f t="shared" si="46"/>
        <v>17</v>
      </c>
      <c r="Y172" s="4">
        <f t="shared" si="47"/>
        <v>2</v>
      </c>
      <c r="Z172" t="str">
        <f t="shared" si="48"/>
        <v>2450302</v>
      </c>
      <c r="AA172" t="str">
        <f t="shared" si="49"/>
        <v xml:space="preserve">Doç.Dr. CENK TUFAN  </v>
      </c>
      <c r="AB172" t="str">
        <f t="shared" si="50"/>
        <v>2450302</v>
      </c>
    </row>
  </sheetData>
  <autoFilter ref="F1:Z172" xr:uid="{44A4D92F-40C9-4DD4-A691-BF84D5E4AB9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16F0-78C1-4003-91D4-3903B90A8B6A}">
  <dimension ref="A1:B47"/>
  <sheetViews>
    <sheetView workbookViewId="0">
      <selection activeCell="B2" sqref="B2"/>
    </sheetView>
  </sheetViews>
  <sheetFormatPr defaultRowHeight="14.25" x14ac:dyDescent="0.45"/>
  <cols>
    <col min="1" max="1" width="38.1328125" bestFit="1" customWidth="1"/>
  </cols>
  <sheetData>
    <row r="1" spans="1:2" x14ac:dyDescent="0.45">
      <c r="A1" t="s">
        <v>455</v>
      </c>
      <c r="B1" t="s">
        <v>456</v>
      </c>
    </row>
    <row r="2" spans="1:2" x14ac:dyDescent="0.45">
      <c r="A2" t="s">
        <v>13</v>
      </c>
      <c r="B2" t="s">
        <v>409</v>
      </c>
    </row>
    <row r="3" spans="1:2" x14ac:dyDescent="0.45">
      <c r="A3" t="s">
        <v>16</v>
      </c>
      <c r="B3" t="s">
        <v>410</v>
      </c>
    </row>
    <row r="4" spans="1:2" x14ac:dyDescent="0.45">
      <c r="A4" t="s">
        <v>19</v>
      </c>
      <c r="B4" t="s">
        <v>411</v>
      </c>
    </row>
    <row r="5" spans="1:2" x14ac:dyDescent="0.45">
      <c r="A5" t="s">
        <v>25</v>
      </c>
      <c r="B5" t="s">
        <v>413</v>
      </c>
    </row>
    <row r="6" spans="1:2" x14ac:dyDescent="0.45">
      <c r="A6" t="s">
        <v>30</v>
      </c>
      <c r="B6" t="s">
        <v>414</v>
      </c>
    </row>
    <row r="7" spans="1:2" x14ac:dyDescent="0.45">
      <c r="A7" t="s">
        <v>35</v>
      </c>
      <c r="B7" t="s">
        <v>415</v>
      </c>
    </row>
    <row r="8" spans="1:2" x14ac:dyDescent="0.45">
      <c r="A8" t="s">
        <v>41</v>
      </c>
      <c r="B8" t="s">
        <v>416</v>
      </c>
    </row>
    <row r="9" spans="1:2" x14ac:dyDescent="0.45">
      <c r="A9" t="s">
        <v>44</v>
      </c>
      <c r="B9" t="s">
        <v>417</v>
      </c>
    </row>
    <row r="10" spans="1:2" x14ac:dyDescent="0.45">
      <c r="A10" t="s">
        <v>54</v>
      </c>
      <c r="B10" t="s">
        <v>419</v>
      </c>
    </row>
    <row r="11" spans="1:2" x14ac:dyDescent="0.45">
      <c r="A11" t="s">
        <v>47</v>
      </c>
      <c r="B11" t="s">
        <v>418</v>
      </c>
    </row>
    <row r="12" spans="1:2" x14ac:dyDescent="0.45">
      <c r="A12" t="s">
        <v>63</v>
      </c>
      <c r="B12" t="s">
        <v>420</v>
      </c>
    </row>
    <row r="13" spans="1:2" x14ac:dyDescent="0.45">
      <c r="A13" t="s">
        <v>69</v>
      </c>
      <c r="B13" t="s">
        <v>421</v>
      </c>
    </row>
    <row r="14" spans="1:2" x14ac:dyDescent="0.45">
      <c r="A14" t="s">
        <v>72</v>
      </c>
      <c r="B14" t="s">
        <v>422</v>
      </c>
    </row>
    <row r="15" spans="1:2" x14ac:dyDescent="0.45">
      <c r="A15" t="s">
        <v>85</v>
      </c>
      <c r="B15" t="s">
        <v>423</v>
      </c>
    </row>
    <row r="16" spans="1:2" x14ac:dyDescent="0.45">
      <c r="A16" t="s">
        <v>99</v>
      </c>
      <c r="B16" t="s">
        <v>427</v>
      </c>
    </row>
    <row r="17" spans="1:2" x14ac:dyDescent="0.45">
      <c r="A17" t="s">
        <v>94</v>
      </c>
      <c r="B17" t="s">
        <v>426</v>
      </c>
    </row>
    <row r="18" spans="1:2" x14ac:dyDescent="0.45">
      <c r="A18" t="s">
        <v>109</v>
      </c>
      <c r="B18" t="s">
        <v>428</v>
      </c>
    </row>
    <row r="19" spans="1:2" x14ac:dyDescent="0.45">
      <c r="A19" t="s">
        <v>88</v>
      </c>
      <c r="B19" t="s">
        <v>424</v>
      </c>
    </row>
    <row r="20" spans="1:2" x14ac:dyDescent="0.45">
      <c r="A20" t="s">
        <v>91</v>
      </c>
      <c r="B20" t="s">
        <v>425</v>
      </c>
    </row>
    <row r="21" spans="1:2" x14ac:dyDescent="0.45">
      <c r="A21" t="s">
        <v>124</v>
      </c>
      <c r="B21" t="s">
        <v>429</v>
      </c>
    </row>
    <row r="22" spans="1:2" x14ac:dyDescent="0.45">
      <c r="A22" t="s">
        <v>132</v>
      </c>
      <c r="B22" t="s">
        <v>430</v>
      </c>
    </row>
    <row r="23" spans="1:2" x14ac:dyDescent="0.45">
      <c r="A23" t="s">
        <v>138</v>
      </c>
      <c r="B23" t="s">
        <v>431</v>
      </c>
    </row>
    <row r="24" spans="1:2" x14ac:dyDescent="0.45">
      <c r="A24" t="s">
        <v>22</v>
      </c>
      <c r="B24" t="s">
        <v>412</v>
      </c>
    </row>
    <row r="25" spans="1:2" x14ac:dyDescent="0.45">
      <c r="A25" t="s">
        <v>149</v>
      </c>
      <c r="B25" t="s">
        <v>432</v>
      </c>
    </row>
    <row r="26" spans="1:2" x14ac:dyDescent="0.45">
      <c r="A26" t="s">
        <v>156</v>
      </c>
      <c r="B26" t="s">
        <v>433</v>
      </c>
    </row>
    <row r="27" spans="1:2" x14ac:dyDescent="0.45">
      <c r="A27" t="s">
        <v>158</v>
      </c>
      <c r="B27" t="s">
        <v>434</v>
      </c>
    </row>
    <row r="28" spans="1:2" x14ac:dyDescent="0.45">
      <c r="A28" t="s">
        <v>159</v>
      </c>
      <c r="B28" t="s">
        <v>435</v>
      </c>
    </row>
    <row r="29" spans="1:2" x14ac:dyDescent="0.45">
      <c r="A29" t="s">
        <v>165</v>
      </c>
      <c r="B29" t="s">
        <v>437</v>
      </c>
    </row>
    <row r="30" spans="1:2" x14ac:dyDescent="0.45">
      <c r="A30" t="s">
        <v>170</v>
      </c>
      <c r="B30" t="s">
        <v>439</v>
      </c>
    </row>
    <row r="31" spans="1:2" x14ac:dyDescent="0.45">
      <c r="A31" t="s">
        <v>196</v>
      </c>
      <c r="B31" t="s">
        <v>443</v>
      </c>
    </row>
    <row r="32" spans="1:2" x14ac:dyDescent="0.45">
      <c r="A32" t="s">
        <v>162</v>
      </c>
      <c r="B32" t="s">
        <v>436</v>
      </c>
    </row>
    <row r="33" spans="1:2" x14ac:dyDescent="0.45">
      <c r="A33" t="s">
        <v>182</v>
      </c>
      <c r="B33" t="s">
        <v>442</v>
      </c>
    </row>
    <row r="34" spans="1:2" x14ac:dyDescent="0.45">
      <c r="A34" t="s">
        <v>168</v>
      </c>
      <c r="B34" t="s">
        <v>438</v>
      </c>
    </row>
    <row r="35" spans="1:2" x14ac:dyDescent="0.45">
      <c r="A35" t="s">
        <v>177</v>
      </c>
      <c r="B35" t="s">
        <v>440</v>
      </c>
    </row>
    <row r="36" spans="1:2" x14ac:dyDescent="0.45">
      <c r="A36" t="s">
        <v>179</v>
      </c>
      <c r="B36" t="s">
        <v>441</v>
      </c>
    </row>
    <row r="37" spans="1:2" x14ac:dyDescent="0.45">
      <c r="A37" t="s">
        <v>199</v>
      </c>
      <c r="B37" t="s">
        <v>444</v>
      </c>
    </row>
    <row r="38" spans="1:2" x14ac:dyDescent="0.45">
      <c r="A38" t="s">
        <v>201</v>
      </c>
      <c r="B38" t="s">
        <v>445</v>
      </c>
    </row>
    <row r="39" spans="1:2" x14ac:dyDescent="0.45">
      <c r="A39" t="s">
        <v>202</v>
      </c>
      <c r="B39" t="s">
        <v>446</v>
      </c>
    </row>
    <row r="40" spans="1:2" x14ac:dyDescent="0.45">
      <c r="A40" t="s">
        <v>204</v>
      </c>
      <c r="B40" t="s">
        <v>447</v>
      </c>
    </row>
    <row r="41" spans="1:2" x14ac:dyDescent="0.45">
      <c r="A41" t="s">
        <v>206</v>
      </c>
      <c r="B41" t="s">
        <v>448</v>
      </c>
    </row>
    <row r="42" spans="1:2" x14ac:dyDescent="0.45">
      <c r="A42" t="s">
        <v>211</v>
      </c>
      <c r="B42" t="s">
        <v>449</v>
      </c>
    </row>
    <row r="43" spans="1:2" x14ac:dyDescent="0.45">
      <c r="A43" t="s">
        <v>214</v>
      </c>
      <c r="B43" t="s">
        <v>450</v>
      </c>
    </row>
    <row r="44" spans="1:2" x14ac:dyDescent="0.45">
      <c r="A44" t="s">
        <v>221</v>
      </c>
      <c r="B44" t="s">
        <v>451</v>
      </c>
    </row>
    <row r="45" spans="1:2" x14ac:dyDescent="0.45">
      <c r="A45" t="s">
        <v>224</v>
      </c>
      <c r="B45" t="s">
        <v>452</v>
      </c>
    </row>
    <row r="46" spans="1:2" x14ac:dyDescent="0.45">
      <c r="A46" t="s">
        <v>239</v>
      </c>
      <c r="B46" t="s">
        <v>453</v>
      </c>
    </row>
    <row r="47" spans="1:2" x14ac:dyDescent="0.45">
      <c r="A47" t="s">
        <v>243</v>
      </c>
      <c r="B47" t="s">
        <v>454</v>
      </c>
    </row>
  </sheetData>
  <autoFilter ref="A1:B47" xr:uid="{E34F16F0-78C1-4003-91D4-3903B90A8B6A}"/>
  <conditionalFormatting sqref="A1:A1048576">
    <cfRule type="duplicateValues" dxfId="1" priority="2"/>
  </conditionalFormatting>
  <conditionalFormatting sqref="B2:B4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InstructorID_Algoritma</vt:lpstr>
      <vt:lpstr>InstructorID_List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Ercin</cp:lastModifiedBy>
  <dcterms:created xsi:type="dcterms:W3CDTF">2025-06-02T11:05:01Z</dcterms:created>
  <dcterms:modified xsi:type="dcterms:W3CDTF">2026-03-04T08:57:42Z</dcterms:modified>
</cp:coreProperties>
</file>